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illary/Desktop/"/>
    </mc:Choice>
  </mc:AlternateContent>
  <xr:revisionPtr revIDLastSave="0" documentId="13_ncr:1_{24A1608F-8FB8-694E-B176-C1B36C8A3BF5}" xr6:coauthVersionLast="47" xr6:coauthVersionMax="47" xr10:uidLastSave="{00000000-0000-0000-0000-000000000000}"/>
  <bookViews>
    <workbookView xWindow="0" yWindow="620" windowWidth="28800" windowHeight="15480" xr2:uid="{73E2F9C8-10E5-4616-A0E3-FDFF5259E8B3}"/>
  </bookViews>
  <sheets>
    <sheet name="Monthly Report" sheetId="16" r:id="rId1"/>
    <sheet name="Master Listing" sheetId="26" r:id="rId2"/>
    <sheet name="Summary" sheetId="29" r:id="rId3"/>
    <sheet name="Sheet1" sheetId="11" state="hidden" r:id="rId4"/>
  </sheets>
  <definedNames>
    <definedName name="_xlnm._FilterDatabase" localSheetId="1" hidden="1">'Master Listing'!$A$4:$L$476</definedName>
    <definedName name="A">OFFSET(#REF!,0,0,SUMPRODUCT(MAX((#REF!&lt;&gt;"")*(ROW(#REF!))))+1,1)</definedName>
    <definedName name="CustomerID" localSheetId="1">OFFSET('Master Listing'!#REF!,0,0,SUMPRODUCT(MAX(('Master Listing'!#REF!&lt;&gt;"")*(ROW('Master Listing'!#REF!))))+1,1)</definedName>
    <definedName name="CustomerID">OFFSET(#REF!,0,0,SUMPRODUCT(MAX((#REF!&lt;&gt;"")*(ROW(#REF!))))+1,1)</definedName>
    <definedName name="CustomerList" localSheetId="1">'Master Listing'!$H$4:$K$778</definedName>
    <definedName name="CustomerList">#REF!</definedName>
    <definedName name="CustomerName" localSheetId="1">OFFSET('Master Listing'!#REF!,0,0,SUMPRODUCT(MAX(('Master Listing'!#REF!&lt;&gt;"")*(ROW('Master Listing'!#REF!))))+1,1)</definedName>
    <definedName name="CustomerName">OFFSET(#REF!,0,0,SUMPRODUCT(MAX((#REF!&lt;&gt;"")*(ROW(#REF!))))+1,1)</definedName>
    <definedName name="_xlnm.Print_Area" localSheetId="0">'Monthly Report'!$A$1:$AC$91</definedName>
    <definedName name="valuevx">42.314159</definedName>
    <definedName name="vertex42_copyright" hidden="1">"© 2014 Vertex42.com"</definedName>
    <definedName name="vertex42_id" hidden="1">"customer-list.xlsx"</definedName>
    <definedName name="vertex42_title" hidden="1">"Customer List Template"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7" i="16" l="1"/>
  <c r="R12" i="29"/>
  <c r="H12" i="29"/>
  <c r="Z12" i="29"/>
  <c r="T12" i="29"/>
  <c r="E12" i="29"/>
  <c r="W12" i="29"/>
  <c r="Q12" i="29"/>
  <c r="Q13" i="29" s="1"/>
  <c r="K12" i="29"/>
  <c r="AG56" i="16" l="1"/>
  <c r="K780" i="26"/>
  <c r="AB26" i="16"/>
  <c r="AB27" i="16"/>
  <c r="AB28" i="16"/>
  <c r="G30" i="16"/>
  <c r="AB21" i="16"/>
  <c r="O64" i="16"/>
  <c r="N64" i="16"/>
  <c r="O57" i="16"/>
  <c r="N57" i="16"/>
  <c r="O44" i="16"/>
  <c r="N44" i="16"/>
  <c r="O38" i="16"/>
  <c r="N38" i="16"/>
  <c r="O34" i="16"/>
  <c r="N34" i="16"/>
  <c r="O30" i="16"/>
  <c r="N30" i="16"/>
  <c r="O20" i="16"/>
  <c r="N20" i="16"/>
  <c r="Q64" i="16"/>
  <c r="P64" i="16"/>
  <c r="Q57" i="16"/>
  <c r="P57" i="16"/>
  <c r="Q44" i="16"/>
  <c r="P44" i="16"/>
  <c r="Q38" i="16"/>
  <c r="P38" i="16"/>
  <c r="Q34" i="16"/>
  <c r="P34" i="16"/>
  <c r="Q30" i="16"/>
  <c r="P30" i="16"/>
  <c r="Q20" i="16"/>
  <c r="P20" i="16"/>
  <c r="S64" i="16"/>
  <c r="R64" i="16"/>
  <c r="S57" i="16"/>
  <c r="R57" i="16"/>
  <c r="S44" i="16"/>
  <c r="R44" i="16"/>
  <c r="S38" i="16"/>
  <c r="R38" i="16"/>
  <c r="S34" i="16"/>
  <c r="R34" i="16"/>
  <c r="S30" i="16"/>
  <c r="R30" i="16"/>
  <c r="S20" i="16"/>
  <c r="R20" i="16"/>
  <c r="U64" i="16"/>
  <c r="T64" i="16"/>
  <c r="U57" i="16"/>
  <c r="T57" i="16"/>
  <c r="U44" i="16"/>
  <c r="T44" i="16"/>
  <c r="U38" i="16"/>
  <c r="T38" i="16"/>
  <c r="U34" i="16"/>
  <c r="T34" i="16"/>
  <c r="U30" i="16"/>
  <c r="T30" i="16"/>
  <c r="U20" i="16"/>
  <c r="T20" i="16"/>
  <c r="K64" i="16"/>
  <c r="J64" i="16"/>
  <c r="K57" i="16"/>
  <c r="J57" i="16"/>
  <c r="K44" i="16"/>
  <c r="J44" i="16"/>
  <c r="K38" i="16"/>
  <c r="J38" i="16"/>
  <c r="K34" i="16"/>
  <c r="J34" i="16"/>
  <c r="K30" i="16"/>
  <c r="J30" i="16"/>
  <c r="K20" i="16"/>
  <c r="J20" i="16"/>
  <c r="I64" i="16"/>
  <c r="H64" i="16"/>
  <c r="I57" i="16"/>
  <c r="H57" i="16"/>
  <c r="I44" i="16"/>
  <c r="H44" i="16"/>
  <c r="I38" i="16"/>
  <c r="H38" i="16"/>
  <c r="I34" i="16"/>
  <c r="H34" i="16"/>
  <c r="I30" i="16"/>
  <c r="H30" i="16"/>
  <c r="I20" i="16"/>
  <c r="H20" i="16"/>
  <c r="G64" i="16"/>
  <c r="F64" i="16"/>
  <c r="F57" i="16"/>
  <c r="G44" i="16"/>
  <c r="F44" i="16"/>
  <c r="G38" i="16"/>
  <c r="F38" i="16"/>
  <c r="G34" i="16"/>
  <c r="F34" i="16"/>
  <c r="F30" i="16"/>
  <c r="G20" i="16"/>
  <c r="F20" i="16"/>
  <c r="E64" i="16"/>
  <c r="D64" i="16"/>
  <c r="E57" i="16"/>
  <c r="D57" i="16"/>
  <c r="E44" i="16"/>
  <c r="D44" i="16"/>
  <c r="E38" i="16"/>
  <c r="D38" i="16"/>
  <c r="E34" i="16"/>
  <c r="D34" i="16"/>
  <c r="E30" i="16"/>
  <c r="D30" i="16"/>
  <c r="E20" i="16"/>
  <c r="D20" i="16"/>
  <c r="Y64" i="16"/>
  <c r="X64" i="16"/>
  <c r="Y57" i="16"/>
  <c r="X57" i="16"/>
  <c r="Y44" i="16"/>
  <c r="X44" i="16"/>
  <c r="Y38" i="16"/>
  <c r="X38" i="16"/>
  <c r="Y34" i="16"/>
  <c r="X34" i="16"/>
  <c r="Y30" i="16"/>
  <c r="X30" i="16"/>
  <c r="Y20" i="16"/>
  <c r="X20" i="16"/>
  <c r="W64" i="16"/>
  <c r="V64" i="16"/>
  <c r="W57" i="16"/>
  <c r="V57" i="16"/>
  <c r="W44" i="16"/>
  <c r="V44" i="16"/>
  <c r="W38" i="16"/>
  <c r="V38" i="16"/>
  <c r="W34" i="16"/>
  <c r="V34" i="16"/>
  <c r="W30" i="16"/>
  <c r="V30" i="16"/>
  <c r="W20" i="16"/>
  <c r="V20" i="16"/>
  <c r="M64" i="16"/>
  <c r="L64" i="16"/>
  <c r="M57" i="16"/>
  <c r="L57" i="16"/>
  <c r="M44" i="16"/>
  <c r="L44" i="16"/>
  <c r="M38" i="16"/>
  <c r="L38" i="16"/>
  <c r="M34" i="16"/>
  <c r="L34" i="16"/>
  <c r="M30" i="16"/>
  <c r="L30" i="16"/>
  <c r="M20" i="16"/>
  <c r="L20" i="16"/>
  <c r="AB60" i="16"/>
  <c r="AB41" i="16"/>
  <c r="AB32" i="16"/>
  <c r="AB25" i="16"/>
  <c r="AB12" i="16"/>
  <c r="AB52" i="16"/>
  <c r="AP12" i="16"/>
  <c r="AO12" i="16"/>
  <c r="AM12" i="16"/>
  <c r="AL12" i="16"/>
  <c r="AJ12" i="16"/>
  <c r="AI12" i="16"/>
  <c r="AG12" i="16"/>
  <c r="AH12" i="16" s="1"/>
  <c r="AF12" i="16"/>
  <c r="AP52" i="16"/>
  <c r="AO52" i="16"/>
  <c r="AM52" i="16"/>
  <c r="AN52" i="16" s="1"/>
  <c r="AL52" i="16"/>
  <c r="AJ52" i="16"/>
  <c r="AI52" i="16"/>
  <c r="AG52" i="16"/>
  <c r="AF52" i="16"/>
  <c r="AP61" i="16"/>
  <c r="AO61" i="16"/>
  <c r="AM61" i="16"/>
  <c r="AL61" i="16"/>
  <c r="AJ61" i="16"/>
  <c r="AI61" i="16"/>
  <c r="AG61" i="16"/>
  <c r="AH61" i="16" s="1"/>
  <c r="AF61" i="16"/>
  <c r="AB61" i="16"/>
  <c r="AB68" i="16"/>
  <c r="AB67" i="16"/>
  <c r="AB66" i="16"/>
  <c r="AB65" i="16"/>
  <c r="AB62" i="16"/>
  <c r="AB59" i="16"/>
  <c r="AB58" i="16"/>
  <c r="AB55" i="16"/>
  <c r="AB54" i="16"/>
  <c r="AB53" i="16"/>
  <c r="AB51" i="16"/>
  <c r="AB50" i="16"/>
  <c r="AB49" i="16"/>
  <c r="AB48" i="16"/>
  <c r="AB47" i="16"/>
  <c r="AB46" i="16"/>
  <c r="AB45" i="16"/>
  <c r="AB42" i="16"/>
  <c r="AB40" i="16"/>
  <c r="AB39" i="16"/>
  <c r="AB36" i="16"/>
  <c r="AB35" i="16"/>
  <c r="AB31" i="16"/>
  <c r="AB24" i="16"/>
  <c r="AB23" i="16"/>
  <c r="AB22" i="16"/>
  <c r="AB18" i="16"/>
  <c r="AB17" i="16"/>
  <c r="AB16" i="16"/>
  <c r="AB15" i="16"/>
  <c r="AB14" i="16"/>
  <c r="AB13" i="16"/>
  <c r="AB11" i="16"/>
  <c r="AB10" i="16"/>
  <c r="AB9" i="16"/>
  <c r="AB8" i="16"/>
  <c r="AB7" i="16"/>
  <c r="AB6" i="16"/>
  <c r="AO7" i="16"/>
  <c r="AP7" i="16"/>
  <c r="AO8" i="16"/>
  <c r="AQ8" i="16" s="1"/>
  <c r="AP8" i="16"/>
  <c r="AO9" i="16"/>
  <c r="AQ9" i="16" s="1"/>
  <c r="AP9" i="16"/>
  <c r="AO10" i="16"/>
  <c r="AP10" i="16"/>
  <c r="AO11" i="16"/>
  <c r="AP11" i="16"/>
  <c r="AO13" i="16"/>
  <c r="AP13" i="16"/>
  <c r="AO14" i="16"/>
  <c r="AP14" i="16"/>
  <c r="AO15" i="16"/>
  <c r="AP15" i="16"/>
  <c r="AO16" i="16"/>
  <c r="AP16" i="16"/>
  <c r="AQ16" i="16" s="1"/>
  <c r="AO17" i="16"/>
  <c r="AQ17" i="16" s="1"/>
  <c r="AP17" i="16"/>
  <c r="AO18" i="16"/>
  <c r="AP18" i="16"/>
  <c r="AO21" i="16"/>
  <c r="AP21" i="16"/>
  <c r="AO22" i="16"/>
  <c r="AP22" i="16"/>
  <c r="AQ22" i="16" s="1"/>
  <c r="AO23" i="16"/>
  <c r="AP23" i="16"/>
  <c r="AO24" i="16"/>
  <c r="AP24" i="16"/>
  <c r="AQ24" i="16" s="1"/>
  <c r="AO25" i="16"/>
  <c r="AP25" i="16"/>
  <c r="AO26" i="16"/>
  <c r="AP26" i="16"/>
  <c r="AO27" i="16"/>
  <c r="AP27" i="16"/>
  <c r="AO28" i="16"/>
  <c r="AP28" i="16"/>
  <c r="AO31" i="16"/>
  <c r="AP31" i="16"/>
  <c r="AO32" i="16"/>
  <c r="AP32" i="16"/>
  <c r="AO35" i="16"/>
  <c r="AQ35" i="16" s="1"/>
  <c r="AP35" i="16"/>
  <c r="AO36" i="16"/>
  <c r="AP36" i="16"/>
  <c r="AP34" i="16" s="1"/>
  <c r="AO39" i="16"/>
  <c r="AP39" i="16"/>
  <c r="AO40" i="16"/>
  <c r="AQ40" i="16" s="1"/>
  <c r="AP40" i="16"/>
  <c r="AO41" i="16"/>
  <c r="AP41" i="16"/>
  <c r="AQ41" i="16" s="1"/>
  <c r="AO42" i="16"/>
  <c r="AP42" i="16"/>
  <c r="AO45" i="16"/>
  <c r="AP45" i="16"/>
  <c r="AQ45" i="16" s="1"/>
  <c r="AO46" i="16"/>
  <c r="AP46" i="16"/>
  <c r="AO47" i="16"/>
  <c r="AP47" i="16"/>
  <c r="AO48" i="16"/>
  <c r="AP48" i="16"/>
  <c r="AQ48" i="16" s="1"/>
  <c r="AO49" i="16"/>
  <c r="AP49" i="16"/>
  <c r="AO50" i="16"/>
  <c r="AQ50" i="16" s="1"/>
  <c r="AP50" i="16"/>
  <c r="AO51" i="16"/>
  <c r="AP51" i="16"/>
  <c r="AO53" i="16"/>
  <c r="AP53" i="16"/>
  <c r="AQ53" i="16" s="1"/>
  <c r="AO54" i="16"/>
  <c r="AP54" i="16"/>
  <c r="AO55" i="16"/>
  <c r="AP55" i="16"/>
  <c r="AQ55" i="16" s="1"/>
  <c r="AO58" i="16"/>
  <c r="AP58" i="16"/>
  <c r="AO59" i="16"/>
  <c r="AP59" i="16"/>
  <c r="AO60" i="16"/>
  <c r="AP60" i="16"/>
  <c r="AO62" i="16"/>
  <c r="AP62" i="16"/>
  <c r="AO65" i="16"/>
  <c r="AP65" i="16"/>
  <c r="AO66" i="16"/>
  <c r="AP66" i="16"/>
  <c r="AO67" i="16"/>
  <c r="AP67" i="16"/>
  <c r="AO68" i="16"/>
  <c r="AP68" i="16"/>
  <c r="AP6" i="16"/>
  <c r="AO6" i="16"/>
  <c r="AL7" i="16"/>
  <c r="AM7" i="16"/>
  <c r="AN7" i="16" s="1"/>
  <c r="AL8" i="16"/>
  <c r="AM8" i="16"/>
  <c r="AN8" i="16" s="1"/>
  <c r="AL9" i="16"/>
  <c r="AM9" i="16"/>
  <c r="AN9" i="16" s="1"/>
  <c r="AL10" i="16"/>
  <c r="AM10" i="16"/>
  <c r="AL11" i="16"/>
  <c r="AM11" i="16"/>
  <c r="AN11" i="16" s="1"/>
  <c r="AL13" i="16"/>
  <c r="AM13" i="16"/>
  <c r="AN13" i="16" s="1"/>
  <c r="AL14" i="16"/>
  <c r="AM14" i="16"/>
  <c r="AL15" i="16"/>
  <c r="AM15" i="16"/>
  <c r="AN15" i="16" s="1"/>
  <c r="AL16" i="16"/>
  <c r="AM16" i="16"/>
  <c r="AN16" i="16" s="1"/>
  <c r="AL17" i="16"/>
  <c r="AM17" i="16"/>
  <c r="AN17" i="16" s="1"/>
  <c r="AL18" i="16"/>
  <c r="AM18" i="16"/>
  <c r="AL21" i="16"/>
  <c r="AM21" i="16"/>
  <c r="AL22" i="16"/>
  <c r="AM22" i="16"/>
  <c r="AL23" i="16"/>
  <c r="AM23" i="16"/>
  <c r="AN23" i="16" s="1"/>
  <c r="AL24" i="16"/>
  <c r="AM24" i="16"/>
  <c r="AL25" i="16"/>
  <c r="AM25" i="16"/>
  <c r="AN25" i="16" s="1"/>
  <c r="AL26" i="16"/>
  <c r="AM26" i="16"/>
  <c r="AN26" i="16" s="1"/>
  <c r="AL27" i="16"/>
  <c r="AM27" i="16"/>
  <c r="AN27" i="16" s="1"/>
  <c r="AL28" i="16"/>
  <c r="AM28" i="16"/>
  <c r="AN28" i="16" s="1"/>
  <c r="AL31" i="16"/>
  <c r="AM31" i="16"/>
  <c r="AL32" i="16"/>
  <c r="AM32" i="16"/>
  <c r="AN32" i="16" s="1"/>
  <c r="AL35" i="16"/>
  <c r="AM35" i="16"/>
  <c r="AN35" i="16" s="1"/>
  <c r="AL36" i="16"/>
  <c r="AM36" i="16"/>
  <c r="AL39" i="16"/>
  <c r="AM39" i="16"/>
  <c r="AN39" i="16" s="1"/>
  <c r="AL40" i="16"/>
  <c r="AM40" i="16"/>
  <c r="AN40" i="16" s="1"/>
  <c r="AL41" i="16"/>
  <c r="AM41" i="16"/>
  <c r="AN41" i="16" s="1"/>
  <c r="AL42" i="16"/>
  <c r="AM42" i="16"/>
  <c r="AN42" i="16" s="1"/>
  <c r="AL45" i="16"/>
  <c r="AM45" i="16"/>
  <c r="AN45" i="16" s="1"/>
  <c r="AL46" i="16"/>
  <c r="AM46" i="16"/>
  <c r="AL47" i="16"/>
  <c r="AM47" i="16"/>
  <c r="AL48" i="16"/>
  <c r="AM48" i="16"/>
  <c r="AL49" i="16"/>
  <c r="AM49" i="16"/>
  <c r="AN49" i="16" s="1"/>
  <c r="AL50" i="16"/>
  <c r="AM50" i="16"/>
  <c r="AL51" i="16"/>
  <c r="AM51" i="16"/>
  <c r="AL53" i="16"/>
  <c r="AM53" i="16"/>
  <c r="AN53" i="16" s="1"/>
  <c r="AL54" i="16"/>
  <c r="AM54" i="16"/>
  <c r="AL55" i="16"/>
  <c r="AM55" i="16"/>
  <c r="AN55" i="16" s="1"/>
  <c r="AL58" i="16"/>
  <c r="AM58" i="16"/>
  <c r="AN58" i="16" s="1"/>
  <c r="AL59" i="16"/>
  <c r="AM59" i="16"/>
  <c r="AN59" i="16" s="1"/>
  <c r="AL60" i="16"/>
  <c r="AM60" i="16"/>
  <c r="AN60" i="16" s="1"/>
  <c r="AL62" i="16"/>
  <c r="AM62" i="16"/>
  <c r="AN62" i="16" s="1"/>
  <c r="AL65" i="16"/>
  <c r="AM65" i="16"/>
  <c r="AL66" i="16"/>
  <c r="AM66" i="16"/>
  <c r="AN66" i="16" s="1"/>
  <c r="AL67" i="16"/>
  <c r="AM67" i="16"/>
  <c r="AL68" i="16"/>
  <c r="AM68" i="16"/>
  <c r="AN68" i="16" s="1"/>
  <c r="AL6" i="16"/>
  <c r="AM6" i="16"/>
  <c r="AN6" i="16" s="1"/>
  <c r="AI7" i="16"/>
  <c r="AJ7" i="16"/>
  <c r="AI8" i="16"/>
  <c r="AJ8" i="16"/>
  <c r="AK8" i="16" s="1"/>
  <c r="AI9" i="16"/>
  <c r="AJ9" i="16"/>
  <c r="AK9" i="16" s="1"/>
  <c r="AI10" i="16"/>
  <c r="AJ10" i="16"/>
  <c r="AI11" i="16"/>
  <c r="AJ11" i="16"/>
  <c r="AK11" i="16" s="1"/>
  <c r="AI13" i="16"/>
  <c r="AJ13" i="16"/>
  <c r="AK13" i="16" s="1"/>
  <c r="AI14" i="16"/>
  <c r="AJ14" i="16"/>
  <c r="AI15" i="16"/>
  <c r="AJ15" i="16"/>
  <c r="AI16" i="16"/>
  <c r="AJ16" i="16"/>
  <c r="AK16" i="16" s="1"/>
  <c r="AI17" i="16"/>
  <c r="AJ17" i="16"/>
  <c r="AK17" i="16" s="1"/>
  <c r="AI18" i="16"/>
  <c r="AJ18" i="16"/>
  <c r="AK18" i="16" s="1"/>
  <c r="AI21" i="16"/>
  <c r="AJ21" i="16"/>
  <c r="AK21" i="16" s="1"/>
  <c r="AI22" i="16"/>
  <c r="AJ22" i="16"/>
  <c r="AK22" i="16" s="1"/>
  <c r="AI23" i="16"/>
  <c r="AJ23" i="16"/>
  <c r="AK23" i="16" s="1"/>
  <c r="AI24" i="16"/>
  <c r="AJ24" i="16"/>
  <c r="AK24" i="16" s="1"/>
  <c r="AI25" i="16"/>
  <c r="AJ25" i="16"/>
  <c r="AI26" i="16"/>
  <c r="AJ26" i="16"/>
  <c r="AI27" i="16"/>
  <c r="AJ27" i="16"/>
  <c r="AK27" i="16" s="1"/>
  <c r="AI28" i="16"/>
  <c r="AJ28" i="16"/>
  <c r="AI31" i="16"/>
  <c r="AJ31" i="16"/>
  <c r="AK31" i="16" s="1"/>
  <c r="AI32" i="16"/>
  <c r="AJ32" i="16"/>
  <c r="AI35" i="16"/>
  <c r="AJ35" i="16"/>
  <c r="AK35" i="16" s="1"/>
  <c r="AI36" i="16"/>
  <c r="AJ36" i="16"/>
  <c r="AK36" i="16" s="1"/>
  <c r="AI39" i="16"/>
  <c r="AJ39" i="16"/>
  <c r="AI40" i="16"/>
  <c r="AJ40" i="16"/>
  <c r="AI41" i="16"/>
  <c r="AJ41" i="16"/>
  <c r="AK41" i="16" s="1"/>
  <c r="AI42" i="16"/>
  <c r="AJ42" i="16"/>
  <c r="AI45" i="16"/>
  <c r="AJ45" i="16"/>
  <c r="AI46" i="16"/>
  <c r="AJ46" i="16"/>
  <c r="AI47" i="16"/>
  <c r="AJ47" i="16"/>
  <c r="AK47" i="16" s="1"/>
  <c r="AI48" i="16"/>
  <c r="AJ48" i="16"/>
  <c r="AK48" i="16" s="1"/>
  <c r="AI49" i="16"/>
  <c r="AJ49" i="16"/>
  <c r="AI50" i="16"/>
  <c r="AJ50" i="16"/>
  <c r="AI51" i="16"/>
  <c r="AJ51" i="16"/>
  <c r="AK51" i="16" s="1"/>
  <c r="AI53" i="16"/>
  <c r="AJ53" i="16"/>
  <c r="AK53" i="16" s="1"/>
  <c r="AI54" i="16"/>
  <c r="AJ54" i="16"/>
  <c r="AK54" i="16" s="1"/>
  <c r="AI55" i="16"/>
  <c r="AR55" i="16" s="1"/>
  <c r="AJ55" i="16"/>
  <c r="AI58" i="16"/>
  <c r="AJ58" i="16"/>
  <c r="AI59" i="16"/>
  <c r="AJ59" i="16"/>
  <c r="AI60" i="16"/>
  <c r="AJ60" i="16"/>
  <c r="AK60" i="16" s="1"/>
  <c r="AI62" i="16"/>
  <c r="AJ62" i="16"/>
  <c r="AI65" i="16"/>
  <c r="AJ65" i="16"/>
  <c r="AK65" i="16" s="1"/>
  <c r="AI66" i="16"/>
  <c r="AJ66" i="16"/>
  <c r="AK66" i="16" s="1"/>
  <c r="AI67" i="16"/>
  <c r="AJ67" i="16"/>
  <c r="AI68" i="16"/>
  <c r="AJ68" i="16"/>
  <c r="AJ6" i="16"/>
  <c r="AI6" i="16"/>
  <c r="AF49" i="16"/>
  <c r="AF51" i="16"/>
  <c r="AF53" i="16"/>
  <c r="AF54" i="16"/>
  <c r="AF55" i="16"/>
  <c r="AF58" i="16"/>
  <c r="AF59" i="16"/>
  <c r="AF60" i="16"/>
  <c r="AF62" i="16"/>
  <c r="AF65" i="16"/>
  <c r="AR65" i="16" s="1"/>
  <c r="AF66" i="16"/>
  <c r="AF64" i="16"/>
  <c r="AF67" i="16"/>
  <c r="AF68" i="16"/>
  <c r="AG7" i="16"/>
  <c r="AH7" i="16" s="1"/>
  <c r="AG8" i="16"/>
  <c r="AG9" i="16"/>
  <c r="AG10" i="16"/>
  <c r="AH10" i="16" s="1"/>
  <c r="AG11" i="16"/>
  <c r="AH11" i="16" s="1"/>
  <c r="AG13" i="16"/>
  <c r="AH13" i="16" s="1"/>
  <c r="AG14" i="16"/>
  <c r="AG15" i="16"/>
  <c r="AG16" i="16"/>
  <c r="AG17" i="16"/>
  <c r="AH17" i="16" s="1"/>
  <c r="AG18" i="16"/>
  <c r="AH18" i="16" s="1"/>
  <c r="AG21" i="16"/>
  <c r="AH21" i="16" s="1"/>
  <c r="AG22" i="16"/>
  <c r="AG23" i="16"/>
  <c r="AH23" i="16" s="1"/>
  <c r="AG24" i="16"/>
  <c r="AG25" i="16"/>
  <c r="AH25" i="16" s="1"/>
  <c r="AG26" i="16"/>
  <c r="AH26" i="16" s="1"/>
  <c r="AG27" i="16"/>
  <c r="AH27" i="16" s="1"/>
  <c r="AG28" i="16"/>
  <c r="AH28" i="16" s="1"/>
  <c r="AG31" i="16"/>
  <c r="AG32" i="16"/>
  <c r="AH32" i="16" s="1"/>
  <c r="AG35" i="16"/>
  <c r="AG36" i="16"/>
  <c r="AG39" i="16"/>
  <c r="AG38" i="16" s="1"/>
  <c r="AH38" i="16" s="1"/>
  <c r="AG40" i="16"/>
  <c r="AG41" i="16"/>
  <c r="AH41" i="16" s="1"/>
  <c r="AG42" i="16"/>
  <c r="AG45" i="16"/>
  <c r="AH45" i="16" s="1"/>
  <c r="AG46" i="16"/>
  <c r="AG47" i="16"/>
  <c r="AH47" i="16" s="1"/>
  <c r="AG48" i="16"/>
  <c r="AH48" i="16" s="1"/>
  <c r="AG49" i="16"/>
  <c r="AH49" i="16" s="1"/>
  <c r="AG50" i="16"/>
  <c r="AH50" i="16" s="1"/>
  <c r="AG51" i="16"/>
  <c r="AH51" i="16" s="1"/>
  <c r="AG53" i="16"/>
  <c r="AG54" i="16"/>
  <c r="AG55" i="16"/>
  <c r="AH55" i="16"/>
  <c r="AG58" i="16"/>
  <c r="AG59" i="16"/>
  <c r="AH59" i="16" s="1"/>
  <c r="AG60" i="16"/>
  <c r="AG62" i="16"/>
  <c r="AH62" i="16" s="1"/>
  <c r="AG65" i="16"/>
  <c r="AH65" i="16" s="1"/>
  <c r="AG66" i="16"/>
  <c r="AH66" i="16" s="1"/>
  <c r="AG67" i="16"/>
  <c r="AH67" i="16" s="1"/>
  <c r="AG68" i="16"/>
  <c r="AH68" i="16" s="1"/>
  <c r="AF21" i="16"/>
  <c r="AF22" i="16"/>
  <c r="AF23" i="16"/>
  <c r="AF24" i="16"/>
  <c r="AF25" i="16"/>
  <c r="AF26" i="16"/>
  <c r="AF27" i="16"/>
  <c r="AF28" i="16"/>
  <c r="AF31" i="16"/>
  <c r="AF32" i="16"/>
  <c r="AF35" i="16"/>
  <c r="AF34" i="16" s="1"/>
  <c r="AF36" i="16"/>
  <c r="AF39" i="16"/>
  <c r="AF40" i="16"/>
  <c r="AF41" i="16"/>
  <c r="AF42" i="16"/>
  <c r="AF45" i="16"/>
  <c r="AF46" i="16"/>
  <c r="AF47" i="16"/>
  <c r="AF48" i="16"/>
  <c r="AF50" i="16"/>
  <c r="AG6" i="16"/>
  <c r="AF7" i="16"/>
  <c r="AF8" i="16"/>
  <c r="AF9" i="16"/>
  <c r="AF10" i="16"/>
  <c r="AF11" i="16"/>
  <c r="AF13" i="16"/>
  <c r="AF14" i="16"/>
  <c r="AF15" i="16"/>
  <c r="AR15" i="16" s="1"/>
  <c r="AF16" i="16"/>
  <c r="AF17" i="16"/>
  <c r="AF18" i="16"/>
  <c r="AF6" i="16"/>
  <c r="AA64" i="16"/>
  <c r="Z64" i="16"/>
  <c r="AB64" i="16"/>
  <c r="AA57" i="16"/>
  <c r="AB57" i="16" s="1"/>
  <c r="Z57" i="16"/>
  <c r="AA44" i="16"/>
  <c r="Z44" i="16"/>
  <c r="AA38" i="16"/>
  <c r="Z38" i="16"/>
  <c r="AA34" i="16"/>
  <c r="Z34" i="16"/>
  <c r="AA30" i="16"/>
  <c r="AB30" i="16" s="1"/>
  <c r="Z30" i="16"/>
  <c r="AA20" i="16"/>
  <c r="Z20" i="16"/>
  <c r="AA5" i="16"/>
  <c r="Z5" i="16"/>
  <c r="Y5" i="16"/>
  <c r="X5" i="16"/>
  <c r="W5" i="16"/>
  <c r="U5" i="16"/>
  <c r="T5" i="16"/>
  <c r="S5" i="16"/>
  <c r="R5" i="16"/>
  <c r="X12" i="29" s="1"/>
  <c r="W13" i="29" s="1"/>
  <c r="P5" i="16"/>
  <c r="U12" i="29" s="1"/>
  <c r="O5" i="16"/>
  <c r="N5" i="16"/>
  <c r="M5" i="16"/>
  <c r="L5" i="16"/>
  <c r="O12" i="29" s="1"/>
  <c r="K5" i="16"/>
  <c r="M12" i="29" s="1"/>
  <c r="J5" i="16"/>
  <c r="L12" i="29" s="1"/>
  <c r="K13" i="29" s="1"/>
  <c r="I5" i="16"/>
  <c r="H5" i="16"/>
  <c r="I12" i="29" s="1"/>
  <c r="G5" i="16"/>
  <c r="G12" i="29" s="1"/>
  <c r="G13" i="29" s="1"/>
  <c r="F5" i="16"/>
  <c r="F12" i="29" s="1"/>
  <c r="E13" i="29" s="1"/>
  <c r="E5" i="16"/>
  <c r="E70" i="16" s="1"/>
  <c r="D71" i="16" s="1"/>
  <c r="D5" i="16"/>
  <c r="AQ67" i="16"/>
  <c r="AQ68" i="16"/>
  <c r="AQ25" i="16"/>
  <c r="AR53" i="16"/>
  <c r="AQ46" i="16"/>
  <c r="V5" i="16"/>
  <c r="Q5" i="16"/>
  <c r="I5" i="11"/>
  <c r="I4" i="11"/>
  <c r="AH42" i="16"/>
  <c r="AN10" i="16"/>
  <c r="AQ51" i="16"/>
  <c r="AQ47" i="16"/>
  <c r="AQ27" i="16"/>
  <c r="AQ23" i="16"/>
  <c r="AQ13" i="16"/>
  <c r="AH36" i="16"/>
  <c r="AR51" i="16"/>
  <c r="AH24" i="16"/>
  <c r="AP30" i="16"/>
  <c r="AB5" i="16"/>
  <c r="AQ12" i="16"/>
  <c r="AB44" i="16"/>
  <c r="AR41" i="16"/>
  <c r="AK42" i="16"/>
  <c r="AR46" i="16"/>
  <c r="AN22" i="16"/>
  <c r="AQ28" i="16"/>
  <c r="AQ18" i="16"/>
  <c r="AQ14" i="16"/>
  <c r="AR68" i="16"/>
  <c r="AN46" i="16"/>
  <c r="AR66" i="16"/>
  <c r="AH53" i="16"/>
  <c r="AI64" i="16"/>
  <c r="AI38" i="16"/>
  <c r="AF57" i="16"/>
  <c r="AR50" i="16"/>
  <c r="AR58" i="16"/>
  <c r="AR47" i="16"/>
  <c r="AI44" i="16"/>
  <c r="AR27" i="16"/>
  <c r="AL64" i="16"/>
  <c r="AR49" i="16"/>
  <c r="AL44" i="16"/>
  <c r="AP5" i="16"/>
  <c r="AO64" i="16"/>
  <c r="AR39" i="16"/>
  <c r="AP38" i="16"/>
  <c r="AR9" i="16"/>
  <c r="AN65" i="16"/>
  <c r="AN51" i="16"/>
  <c r="AN47" i="16"/>
  <c r="AQ60" i="16"/>
  <c r="AQ49" i="16"/>
  <c r="AQ39" i="16"/>
  <c r="AQ31" i="16"/>
  <c r="AQ15" i="16"/>
  <c r="AQ10" i="16"/>
  <c r="AQ61" i="16"/>
  <c r="AQ52" i="16"/>
  <c r="AQ6" i="16"/>
  <c r="AN31" i="16"/>
  <c r="AR45" i="16"/>
  <c r="AF44" i="16"/>
  <c r="AR67" i="16"/>
  <c r="AO44" i="16"/>
  <c r="AQ65" i="16"/>
  <c r="AF38" i="16"/>
  <c r="AN21" i="16"/>
  <c r="AQ58" i="16"/>
  <c r="AH40" i="16"/>
  <c r="AM20" i="16"/>
  <c r="AN20" i="16" s="1"/>
  <c r="AP44" i="16"/>
  <c r="AN67" i="16"/>
  <c r="AB34" i="16"/>
  <c r="AR35" i="16"/>
  <c r="AR34" i="16" s="1"/>
  <c r="AH15" i="16"/>
  <c r="AN14" i="16"/>
  <c r="AQ32" i="16"/>
  <c r="AQ11" i="16"/>
  <c r="AQ7" i="16"/>
  <c r="AB38" i="16"/>
  <c r="AR42" i="16"/>
  <c r="AR38" i="16" s="1"/>
  <c r="AR28" i="16"/>
  <c r="AP20" i="16"/>
  <c r="AN61" i="16"/>
  <c r="AA70" i="16"/>
  <c r="AI34" i="16"/>
  <c r="AL38" i="16"/>
  <c r="AQ59" i="16"/>
  <c r="AQ42" i="16"/>
  <c r="AO34" i="16"/>
  <c r="AQ34" i="16"/>
  <c r="W70" i="16"/>
  <c r="AR52" i="16"/>
  <c r="AN12" i="16"/>
  <c r="Y70" i="16"/>
  <c r="U70" i="16"/>
  <c r="AH60" i="16"/>
  <c r="AR60" i="16"/>
  <c r="AR62" i="16"/>
  <c r="AL57" i="16"/>
  <c r="AR61" i="16"/>
  <c r="AO57" i="16"/>
  <c r="AK58" i="16"/>
  <c r="AO38" i="16"/>
  <c r="AO70" i="16" s="1"/>
  <c r="AR40" i="16"/>
  <c r="AQ36" i="16"/>
  <c r="AR36" i="16"/>
  <c r="AL34" i="16"/>
  <c r="AI30" i="16"/>
  <c r="AL30" i="16"/>
  <c r="AR32" i="16"/>
  <c r="AF30" i="16"/>
  <c r="AO30" i="16"/>
  <c r="AQ30" i="16"/>
  <c r="AR31" i="16"/>
  <c r="AR25" i="16"/>
  <c r="AR24" i="16"/>
  <c r="AL20" i="16"/>
  <c r="AN24" i="16"/>
  <c r="AI20" i="16"/>
  <c r="AO20" i="16"/>
  <c r="AQ20" i="16" s="1"/>
  <c r="AR22" i="16"/>
  <c r="AR18" i="16"/>
  <c r="AR17" i="16"/>
  <c r="AR16" i="16"/>
  <c r="AH16" i="16"/>
  <c r="AR14" i="16"/>
  <c r="AH14" i="16"/>
  <c r="AR12" i="16"/>
  <c r="AR11" i="16"/>
  <c r="AR10" i="16"/>
  <c r="AR8" i="16"/>
  <c r="AO5" i="16"/>
  <c r="AQ5" i="16"/>
  <c r="P70" i="16"/>
  <c r="AR7" i="16"/>
  <c r="T70" i="16"/>
  <c r="T71" i="16"/>
  <c r="R70" i="16"/>
  <c r="AL5" i="16"/>
  <c r="N70" i="16"/>
  <c r="L70" i="16"/>
  <c r="AR6" i="16"/>
  <c r="AI5" i="16"/>
  <c r="J70" i="16"/>
  <c r="H70" i="16"/>
  <c r="F70" i="16"/>
  <c r="AF5" i="16"/>
  <c r="AF70" i="16" s="1"/>
  <c r="AP57" i="16"/>
  <c r="X70" i="16"/>
  <c r="AK59" i="16"/>
  <c r="AR59" i="16"/>
  <c r="AI57" i="16"/>
  <c r="AR26" i="16"/>
  <c r="AQ21" i="16"/>
  <c r="AR21" i="16"/>
  <c r="AB20" i="16"/>
  <c r="Z70" i="16"/>
  <c r="V70" i="16"/>
  <c r="AR23" i="16"/>
  <c r="D70" i="16"/>
  <c r="AF20" i="16"/>
  <c r="AR64" i="16"/>
  <c r="AQ44" i="16"/>
  <c r="AQ57" i="16"/>
  <c r="AR30" i="16"/>
  <c r="AR57" i="16"/>
  <c r="AI70" i="16"/>
  <c r="Z71" i="16"/>
  <c r="AB70" i="16"/>
  <c r="AR20" i="16"/>
  <c r="V71" i="16"/>
  <c r="AS51" i="16" l="1"/>
  <c r="AT51" i="16" s="1"/>
  <c r="AS40" i="16"/>
  <c r="AT40" i="16" s="1"/>
  <c r="AH39" i="16"/>
  <c r="AS54" i="16"/>
  <c r="AS53" i="16"/>
  <c r="AT53" i="16" s="1"/>
  <c r="AS41" i="16"/>
  <c r="AT41" i="16" s="1"/>
  <c r="AS60" i="16"/>
  <c r="AG44" i="16"/>
  <c r="AH44" i="16" s="1"/>
  <c r="G70" i="16"/>
  <c r="F71" i="16" s="1"/>
  <c r="AG57" i="16"/>
  <c r="AH57" i="16" s="1"/>
  <c r="AS58" i="16"/>
  <c r="AT58" i="16" s="1"/>
  <c r="AS65" i="16"/>
  <c r="AT65" i="16" s="1"/>
  <c r="AG64" i="16"/>
  <c r="AH64" i="16" s="1"/>
  <c r="AS61" i="16"/>
  <c r="AT61" i="16" s="1"/>
  <c r="AH58" i="16"/>
  <c r="AH54" i="16"/>
  <c r="AH52" i="16"/>
  <c r="AS47" i="16"/>
  <c r="AT47" i="16" s="1"/>
  <c r="AG30" i="16"/>
  <c r="AH31" i="16"/>
  <c r="AG20" i="16"/>
  <c r="AH20" i="16" s="1"/>
  <c r="AH22" i="16"/>
  <c r="AH30" i="16"/>
  <c r="AS23" i="16"/>
  <c r="AS31" i="16"/>
  <c r="AT31" i="16" s="1"/>
  <c r="AS27" i="16"/>
  <c r="AT27" i="16" s="1"/>
  <c r="AS14" i="16"/>
  <c r="AS8" i="16"/>
  <c r="AK14" i="16"/>
  <c r="AG5" i="16"/>
  <c r="AS11" i="16"/>
  <c r="AT11" i="16" s="1"/>
  <c r="AH8" i="16"/>
  <c r="AH6" i="16"/>
  <c r="AM64" i="16"/>
  <c r="AN64" i="16" s="1"/>
  <c r="AM44" i="16"/>
  <c r="AN44" i="16" s="1"/>
  <c r="AN54" i="16"/>
  <c r="AS39" i="16"/>
  <c r="AT39" i="16" s="1"/>
  <c r="AM30" i="16"/>
  <c r="AN30" i="16" s="1"/>
  <c r="S70" i="16"/>
  <c r="R71" i="16" s="1"/>
  <c r="AS25" i="16"/>
  <c r="AT25" i="16" s="1"/>
  <c r="Y12" i="29"/>
  <c r="Y13" i="29" s="1"/>
  <c r="AM57" i="16"/>
  <c r="AN57" i="16" s="1"/>
  <c r="AS55" i="16"/>
  <c r="AT55" i="16" s="1"/>
  <c r="AN48" i="16"/>
  <c r="AS36" i="16"/>
  <c r="AT36" i="16" s="1"/>
  <c r="AN36" i="16"/>
  <c r="AM5" i="16"/>
  <c r="AN5" i="16" s="1"/>
  <c r="AN18" i="16"/>
  <c r="Q70" i="16"/>
  <c r="P71" i="16" s="1"/>
  <c r="AM38" i="16"/>
  <c r="AN38" i="16" s="1"/>
  <c r="V12" i="29"/>
  <c r="P12" i="29"/>
  <c r="O13" i="29" s="1"/>
  <c r="S12" i="29"/>
  <c r="S13" i="29" s="1"/>
  <c r="N12" i="29"/>
  <c r="M13" i="29" s="1"/>
  <c r="O70" i="16"/>
  <c r="N71" i="16" s="1"/>
  <c r="D72" i="16"/>
  <c r="X71" i="16"/>
  <c r="AT8" i="16"/>
  <c r="AQ38" i="16"/>
  <c r="AL70" i="16"/>
  <c r="AH5" i="16"/>
  <c r="AQ66" i="16"/>
  <c r="AP64" i="16"/>
  <c r="AQ64" i="16" s="1"/>
  <c r="AG34" i="16"/>
  <c r="AH34" i="16" s="1"/>
  <c r="AH35" i="16"/>
  <c r="AR54" i="16"/>
  <c r="AH46" i="16"/>
  <c r="AS46" i="16"/>
  <c r="AT46" i="16" s="1"/>
  <c r="AS49" i="16"/>
  <c r="AT49" i="16" s="1"/>
  <c r="AS45" i="16"/>
  <c r="AT45" i="16" s="1"/>
  <c r="AT23" i="16"/>
  <c r="AS66" i="16"/>
  <c r="AT66" i="16" s="1"/>
  <c r="AR48" i="16"/>
  <c r="AR44" i="16" s="1"/>
  <c r="AH9" i="16"/>
  <c r="AT14" i="16"/>
  <c r="AQ26" i="16"/>
  <c r="AS59" i="16"/>
  <c r="AT59" i="16" s="1"/>
  <c r="AS16" i="16"/>
  <c r="AT16" i="16" s="1"/>
  <c r="AK6" i="16"/>
  <c r="AR13" i="16"/>
  <c r="AR5" i="16" s="1"/>
  <c r="AN50" i="16"/>
  <c r="AQ62" i="16"/>
  <c r="AK68" i="16"/>
  <c r="AK62" i="16"/>
  <c r="AK55" i="16"/>
  <c r="AK50" i="16"/>
  <c r="AK46" i="16"/>
  <c r="AK40" i="16"/>
  <c r="AS32" i="16"/>
  <c r="AT32" i="16" s="1"/>
  <c r="AK26" i="16"/>
  <c r="AS22" i="16"/>
  <c r="AT22" i="16" s="1"/>
  <c r="AS7" i="16"/>
  <c r="AT7" i="16" s="1"/>
  <c r="AK52" i="16"/>
  <c r="AK25" i="16"/>
  <c r="AS21" i="16"/>
  <c r="AT21" i="16" s="1"/>
  <c r="AK15" i="16"/>
  <c r="AK10" i="16"/>
  <c r="AQ54" i="16"/>
  <c r="AM34" i="16"/>
  <c r="AN34" i="16" s="1"/>
  <c r="U13" i="29"/>
  <c r="AS48" i="16"/>
  <c r="AS42" i="16"/>
  <c r="AT42" i="16" s="1"/>
  <c r="AS28" i="16"/>
  <c r="AT28" i="16" s="1"/>
  <c r="AS24" i="16"/>
  <c r="AT24" i="16" s="1"/>
  <c r="AK12" i="16"/>
  <c r="I70" i="16"/>
  <c r="H71" i="16" s="1"/>
  <c r="J12" i="29"/>
  <c r="I13" i="29" s="1"/>
  <c r="AK61" i="16"/>
  <c r="D12" i="29"/>
  <c r="C12" i="29"/>
  <c r="AS68" i="16"/>
  <c r="AT68" i="16" s="1"/>
  <c r="AJ57" i="16"/>
  <c r="AK57" i="16" s="1"/>
  <c r="AS62" i="16"/>
  <c r="AT62" i="16" s="1"/>
  <c r="AS52" i="16"/>
  <c r="AT52" i="16" s="1"/>
  <c r="AS50" i="16"/>
  <c r="AT50" i="16" s="1"/>
  <c r="AK49" i="16"/>
  <c r="AK45" i="16"/>
  <c r="AK39" i="16"/>
  <c r="AK28" i="16"/>
  <c r="M70" i="16"/>
  <c r="L71" i="16" s="1"/>
  <c r="AS13" i="16"/>
  <c r="AT13" i="16" s="1"/>
  <c r="AS12" i="16"/>
  <c r="AT12" i="16" s="1"/>
  <c r="AK7" i="16"/>
  <c r="AS17" i="16"/>
  <c r="AT17" i="16" s="1"/>
  <c r="AS6" i="16"/>
  <c r="AT6" i="16" s="1"/>
  <c r="AJ64" i="16"/>
  <c r="AK64" i="16" s="1"/>
  <c r="AS67" i="16"/>
  <c r="AT67" i="16" s="1"/>
  <c r="AK67" i="16"/>
  <c r="AJ44" i="16"/>
  <c r="AK44" i="16" s="1"/>
  <c r="AJ38" i="16"/>
  <c r="AK38" i="16" s="1"/>
  <c r="AK32" i="16"/>
  <c r="AJ30" i="16"/>
  <c r="AK30" i="16" s="1"/>
  <c r="AS26" i="16"/>
  <c r="AT26" i="16" s="1"/>
  <c r="AJ20" i="16"/>
  <c r="AK20" i="16" s="1"/>
  <c r="AS15" i="16"/>
  <c r="AT15" i="16" s="1"/>
  <c r="AS9" i="16"/>
  <c r="AT9" i="16" s="1"/>
  <c r="AS35" i="16"/>
  <c r="AJ34" i="16"/>
  <c r="AK34" i="16" s="1"/>
  <c r="AS10" i="16"/>
  <c r="AT10" i="16" s="1"/>
  <c r="AJ5" i="16"/>
  <c r="AK5" i="16" s="1"/>
  <c r="AT60" i="16"/>
  <c r="AS18" i="16"/>
  <c r="K70" i="16"/>
  <c r="AT54" i="16" l="1"/>
  <c r="AG70" i="16"/>
  <c r="AF71" i="16" s="1"/>
  <c r="AS64" i="16"/>
  <c r="AT64" i="16" s="1"/>
  <c r="AS57" i="16"/>
  <c r="AT57" i="16" s="1"/>
  <c r="AS38" i="16"/>
  <c r="AT38" i="16" s="1"/>
  <c r="AM70" i="16"/>
  <c r="AN70" i="16" s="1"/>
  <c r="AR70" i="16"/>
  <c r="C17" i="29"/>
  <c r="C14" i="29" s="1"/>
  <c r="C15" i="29"/>
  <c r="C16" i="29"/>
  <c r="C13" i="29"/>
  <c r="AS30" i="16"/>
  <c r="AT30" i="16" s="1"/>
  <c r="AT48" i="16"/>
  <c r="AP70" i="16"/>
  <c r="AS44" i="16"/>
  <c r="AT44" i="16" s="1"/>
  <c r="AS20" i="16"/>
  <c r="AT20" i="16" s="1"/>
  <c r="AT35" i="16"/>
  <c r="AS34" i="16"/>
  <c r="AT34" i="16" s="1"/>
  <c r="AJ70" i="16"/>
  <c r="AI71" i="16" s="1"/>
  <c r="AT18" i="16"/>
  <c r="AS5" i="16"/>
  <c r="J71" i="16"/>
  <c r="D74" i="16"/>
  <c r="D76" i="16" s="1"/>
  <c r="AH70" i="16" l="1"/>
  <c r="AL71" i="16"/>
  <c r="AQ70" i="16"/>
  <c r="AO71" i="16"/>
  <c r="AK70" i="16"/>
  <c r="AS70" i="16"/>
  <c r="AT5" i="16"/>
  <c r="AT70" i="16" l="1"/>
  <c r="AR71" i="16"/>
</calcChain>
</file>

<file path=xl/sharedStrings.xml><?xml version="1.0" encoding="utf-8"?>
<sst xmlns="http://schemas.openxmlformats.org/spreadsheetml/2006/main" count="241" uniqueCount="152">
  <si>
    <t>OFFICE</t>
  </si>
  <si>
    <t>GENERAL OFFICE EXPENSES</t>
  </si>
  <si>
    <t>CLEANING EXPENSES</t>
  </si>
  <si>
    <t>PANTRY EXPENSES</t>
  </si>
  <si>
    <t>DEVICE / ASSET</t>
  </si>
  <si>
    <t>OTHERS</t>
  </si>
  <si>
    <t>COMPANY VEHICLE EXPENSES</t>
  </si>
  <si>
    <t>YEAR 2026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</si>
  <si>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</si>
  <si>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</si>
  <si>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</si>
  <si>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</si>
  <si>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</si>
  <si>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</si>
  <si>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</si>
  <si>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</si>
  <si>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</si>
  <si>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</si>
  <si>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</si>
  <si>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</si>
  <si>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REMARK</t>
  </si>
  <si>
    <t>Q1</t>
  </si>
  <si>
    <t>Q2</t>
  </si>
  <si>
    <t>Q3</t>
  </si>
  <si>
    <t>Q4</t>
  </si>
  <si>
    <t>Annual</t>
  </si>
  <si>
    <t>CATEGORY DESCRIPTION</t>
  </si>
  <si>
    <t>BUDGET TOTAL</t>
  </si>
  <si>
    <t>ACTUAL TOTAL</t>
  </si>
  <si>
    <t>UTILISATION PERCENTAGE</t>
  </si>
  <si>
    <t>TOTALS</t>
  </si>
  <si>
    <t>Office rental</t>
  </si>
  <si>
    <t>Office Water</t>
  </si>
  <si>
    <t>Office Electricity</t>
  </si>
  <si>
    <t>Office Indah Water</t>
  </si>
  <si>
    <t>Office Internet</t>
  </si>
  <si>
    <t>Office Telephone Line</t>
  </si>
  <si>
    <t>Office Additional Aircond Fee</t>
  </si>
  <si>
    <t>Office Building Insurance</t>
  </si>
  <si>
    <t>Office Plant/Fish Aquarium</t>
  </si>
  <si>
    <t>Office Renovation</t>
  </si>
  <si>
    <t>Office Repair &amp; Maintenance</t>
  </si>
  <si>
    <t>Car Park/Motorbike Rental</t>
  </si>
  <si>
    <t>Annual Renewal (License, Agreement)</t>
  </si>
  <si>
    <t>Event Decoration</t>
  </si>
  <si>
    <t>Stationery</t>
  </si>
  <si>
    <t>Headcount Fee</t>
  </si>
  <si>
    <t>Door Access Card &amp; Key</t>
  </si>
  <si>
    <t>Office Water Filter/Coway</t>
  </si>
  <si>
    <t>Office Supplies</t>
  </si>
  <si>
    <t>First Aids / Medicine</t>
  </si>
  <si>
    <t xml:space="preserve">Warehouse </t>
  </si>
  <si>
    <t>Office Cleaning Service</t>
  </si>
  <si>
    <t>Sanitation Materials/Service</t>
  </si>
  <si>
    <t>Office Refreshment (RM45/pax)</t>
  </si>
  <si>
    <t>Pantry Supplies (any kitchenware)</t>
  </si>
  <si>
    <t>Office Equipment (e.g Printer/Paper Shredder/Other)</t>
  </si>
  <si>
    <t>Electronic Device</t>
  </si>
  <si>
    <t>Printer Monthly Rental &amp; Meter Reading Fee</t>
  </si>
  <si>
    <t>Device Repair &amp; Maintenance</t>
  </si>
  <si>
    <t>HOSTEL EXPENSES</t>
  </si>
  <si>
    <t>Hostel Rental</t>
  </si>
  <si>
    <t>Hostel Cost for renewal of rental</t>
  </si>
  <si>
    <t>Hostel Water</t>
  </si>
  <si>
    <t>Hostel Electricity</t>
  </si>
  <si>
    <t>Hostel Indah Water</t>
  </si>
  <si>
    <t>Hostel Internet</t>
  </si>
  <si>
    <t>Hostel Cleaning Service / Waste Collection</t>
  </si>
  <si>
    <t>Hostel Labour Cost</t>
  </si>
  <si>
    <t>Hostel Repair &amp; Maintenance</t>
  </si>
  <si>
    <t>Hostel Water Filter Service</t>
  </si>
  <si>
    <t>Hostel Supplies</t>
  </si>
  <si>
    <t>Courier/Moving Service</t>
  </si>
  <si>
    <t>Printing Expenses</t>
  </si>
  <si>
    <t>Praying Expenses</t>
  </si>
  <si>
    <t>Toll &amp; Parking</t>
  </si>
  <si>
    <t>Petrol</t>
  </si>
  <si>
    <t>Vehiche Repair &amp; Maintenance</t>
  </si>
  <si>
    <t>Roadtax &amp; Insurance</t>
  </si>
  <si>
    <t>Subtotals</t>
  </si>
  <si>
    <t>Balance</t>
  </si>
  <si>
    <t xml:space="preserve">   Total Budget</t>
  </si>
  <si>
    <t xml:space="preserve">   Total Budget Used</t>
  </si>
  <si>
    <t xml:space="preserve">   Total Budget Balance</t>
  </si>
  <si>
    <t>DEPARTMENT HEADCOUNT</t>
  </si>
  <si>
    <t>Month</t>
  </si>
  <si>
    <t>Building</t>
  </si>
  <si>
    <t>Office/Unit</t>
  </si>
  <si>
    <t>Invoice Date</t>
  </si>
  <si>
    <t>Description</t>
  </si>
  <si>
    <t>Payable Name</t>
  </si>
  <si>
    <t>Invoice No</t>
  </si>
  <si>
    <t>Payment Mode</t>
  </si>
  <si>
    <t>Expenses Category</t>
  </si>
  <si>
    <t>Amount</t>
  </si>
  <si>
    <t>Remarks</t>
  </si>
  <si>
    <t xml:space="preserve">Padang Victoria </t>
  </si>
  <si>
    <t xml:space="preserve">Current Headcount </t>
  </si>
  <si>
    <t xml:space="preserve">Increase </t>
  </si>
  <si>
    <t xml:space="preserve">2023 Forecast </t>
  </si>
  <si>
    <t xml:space="preserve">Jan-Nov 2022
Expenses </t>
  </si>
  <si>
    <t xml:space="preserve">2023 Budget </t>
  </si>
  <si>
    <t xml:space="preserve">Diffrenciation </t>
  </si>
  <si>
    <t>Differenciation</t>
  </si>
  <si>
    <t xml:space="preserve">Reason </t>
  </si>
  <si>
    <t xml:space="preserve">New Office </t>
  </si>
  <si>
    <t xml:space="preserve">Duration </t>
  </si>
  <si>
    <t xml:space="preserve">RM </t>
  </si>
  <si>
    <t>72Pax</t>
  </si>
  <si>
    <t xml:space="preserve">115 Pax </t>
  </si>
  <si>
    <t xml:space="preserve">Increase
150% </t>
  </si>
  <si>
    <t xml:space="preserve">Add on Temporary New Office for 1 Quarter. 
The expenses on laptop require high spec especially for design, illustration &amp; gaming dept. 
Year 2023 the forecast up to 43 pax. 
</t>
  </si>
  <si>
    <t xml:space="preserve">41 merged with 43 </t>
  </si>
  <si>
    <t xml:space="preserve">Jul-Dec </t>
  </si>
  <si>
    <t xml:space="preserve">Elite Avenue </t>
  </si>
  <si>
    <t xml:space="preserve">33 Pax </t>
  </si>
  <si>
    <t xml:space="preserve">49 Pax </t>
  </si>
  <si>
    <t>Increase 
41%</t>
  </si>
  <si>
    <t>25 merged with 27</t>
  </si>
  <si>
    <t>Orientation Kit Set (RM100/set)</t>
  </si>
  <si>
    <t>Staff Uniform (RM50/piece)</t>
  </si>
  <si>
    <t>1x TV for display use, 2x  Smart AIOS for meeting room, 1x normal TV for small meeting room</t>
  </si>
  <si>
    <t>1x Refrigerator, 1x Mircowave, Air Fryer, Multi-Cooker</t>
  </si>
  <si>
    <t>Dingtalk Submission Date</t>
  </si>
  <si>
    <t>COMPANY</t>
  </si>
  <si>
    <t>DESCRIPTION</t>
  </si>
  <si>
    <t>JANUARY 2026</t>
  </si>
  <si>
    <t>FEBRUARY 2026</t>
  </si>
  <si>
    <t>MARCH 2026</t>
  </si>
  <si>
    <t>APRIL 2026</t>
  </si>
  <si>
    <t>MAY 2026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</si>
  <si>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</si>
  <si>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</si>
  <si>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</si>
  <si>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</si>
  <si>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</si>
  <si>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</si>
  <si>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</si>
  <si>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BUDGET</t>
  </si>
  <si>
    <t>ACTUAL</t>
  </si>
  <si>
    <t>RENTAL/UTILIES EXPENSES</t>
  </si>
  <si>
    <t>DEVICE / ASSETS EXPENSES</t>
  </si>
  <si>
    <t>BALANCE (BUDGET - ACTUAL)</t>
  </si>
  <si>
    <t>USAGE PERCENTAGE (%)</t>
  </si>
  <si>
    <t>TOTAL BUDGET BALANCE 
[(TOTAL SPENDING - TOTAL BUDGET (12 MONTHS)]</t>
  </si>
  <si>
    <t>SUB TOTAL</t>
  </si>
  <si>
    <t>TOTAL BUDGET (12 MONTHS)</t>
  </si>
  <si>
    <t>MONTHLY ADMIN EXPENSES REPORT</t>
  </si>
  <si>
    <t>ADMIN EXPENSES MASTER LISTING</t>
  </si>
  <si>
    <t>ADMIN MONTHLY SPENDING EXPENSES AS OF xxx 2026</t>
  </si>
  <si>
    <t>TOTAL ACTUAL SPENDING (JANUARY - DECEMBER)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</si>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</sst>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$&quot;* #,##0.00_-;\-&quot;$&quot;* #,##0.00_-;_-&quot;$&quot;* &quot;-&quot;??_-;_-@_-"/>
    <numFmt numFmtId="165" formatCode="&quot;RM&quot;\ #,##0.00"/>
    <numFmt numFmtId="166" formatCode="[$-409]mmm\-yy;@"/>
    <numFmt numFmtId="167" formatCode="[$-14409]yyyy\-mm\-dd;@"/>
    <numFmt numFmtId="168" formatCode="yyyy\-mm\-dd;@"/>
    <numFmt numFmtId="169" formatCode="0.0"/>
  </numFmts>
  <fonts count="4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36"/>
      <color theme="8" tint="-0.499984740745262"/>
      <name val="Century Gothic"/>
      <family val="2"/>
    </font>
    <font>
      <b/>
      <sz val="22"/>
      <color theme="6" tint="-0.249977111117893"/>
      <name val="Century Gothic"/>
      <family val="2"/>
    </font>
    <font>
      <sz val="13"/>
      <color theme="1"/>
      <name val="Arial"/>
      <family val="2"/>
    </font>
    <font>
      <b/>
      <sz val="13"/>
      <color theme="1"/>
      <name val="Century Gothic"/>
      <family val="2"/>
    </font>
    <font>
      <sz val="11"/>
      <color theme="1"/>
      <name val="Arial"/>
      <family val="2"/>
    </font>
    <font>
      <b/>
      <sz val="11"/>
      <color theme="0"/>
      <name val="Century Gothic"/>
      <family val="2"/>
    </font>
    <font>
      <b/>
      <sz val="11"/>
      <name val="Century Gothic"/>
      <family val="2"/>
    </font>
    <font>
      <b/>
      <sz val="14"/>
      <color theme="0"/>
      <name val="Century Gothic"/>
      <family val="2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0"/>
      <name val="Century Gothic"/>
      <family val="2"/>
    </font>
    <font>
      <sz val="12"/>
      <name val="Arial"/>
      <family val="2"/>
    </font>
    <font>
      <b/>
      <sz val="18"/>
      <color theme="1"/>
      <name val="Century Gothic"/>
      <family val="2"/>
    </font>
    <font>
      <sz val="10"/>
      <color rgb="FF002060"/>
      <name val="Century Gothic"/>
      <family val="2"/>
    </font>
    <font>
      <sz val="12"/>
      <color rgb="FF002060"/>
      <name val="Arial"/>
      <family val="2"/>
    </font>
    <font>
      <sz val="11"/>
      <name val="Century Gothic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entury Gothic"/>
      <family val="2"/>
    </font>
    <font>
      <sz val="12"/>
      <color rgb="FF000000"/>
      <name val="Arial"/>
      <family val="2"/>
    </font>
    <font>
      <sz val="10"/>
      <color rgb="FF000000"/>
      <name val="Century Gothic"/>
      <family val="2"/>
    </font>
    <font>
      <b/>
      <sz val="11"/>
      <color rgb="FF000000"/>
      <name val="Century Gothic"/>
      <family val="2"/>
    </font>
    <font>
      <sz val="11"/>
      <color theme="0"/>
      <name val="Century Gothic"/>
      <family val="2"/>
    </font>
    <font>
      <sz val="10"/>
      <name val="Arial"/>
      <family val="2"/>
    </font>
    <font>
      <b/>
      <sz val="50"/>
      <name val="DengXian"/>
      <family val="4"/>
      <charset val="134"/>
    </font>
    <font>
      <b/>
      <sz val="10"/>
      <name val="DengXian"/>
      <family val="4"/>
      <charset val="134"/>
    </font>
    <font>
      <b/>
      <sz val="14"/>
      <name val="DengXian"/>
      <family val="4"/>
      <charset val="134"/>
    </font>
    <font>
      <b/>
      <sz val="10"/>
      <color rgb="FF000000"/>
      <name val="DengXian"/>
      <family val="4"/>
      <charset val="134"/>
    </font>
    <font>
      <b/>
      <sz val="11"/>
      <color rgb="FF000000"/>
      <name val="Calibri"/>
      <family val="2"/>
      <scheme val="minor"/>
    </font>
    <font>
      <b/>
      <sz val="10"/>
      <name val="Arial"/>
      <family val="2"/>
    </font>
    <font>
      <b/>
      <sz val="14"/>
      <color theme="0"/>
      <name val="DengXian"/>
      <family val="4"/>
      <charset val="134"/>
    </font>
    <font>
      <b/>
      <sz val="18"/>
      <color theme="0"/>
      <name val="Century Gothic"/>
      <family val="2"/>
    </font>
    <font>
      <b/>
      <sz val="11"/>
      <name val="Century Gothic"/>
      <family val="1"/>
    </font>
    <font>
      <b/>
      <sz val="11"/>
      <color theme="1"/>
      <name val="Century Gothic"/>
      <family val="2"/>
    </font>
    <font>
      <b/>
      <sz val="28"/>
      <color theme="1"/>
      <name val="Century Gothic"/>
      <family val="2"/>
    </font>
    <font>
      <b/>
      <sz val="11"/>
      <color rgb="FFFFFFFF"/>
      <name val="Century Gothic"/>
      <family val="2"/>
    </font>
    <font>
      <b/>
      <sz val="12"/>
      <color theme="1"/>
      <name val="Century Gothic"/>
      <family val="2"/>
    </font>
    <font>
      <b/>
      <sz val="11"/>
      <color theme="1"/>
      <name val="Century Gothic"/>
      <family val="1"/>
    </font>
    <font>
      <sz val="8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n">
        <color rgb="FF00B0F0"/>
      </bottom>
      <diagonal/>
    </border>
    <border>
      <left style="medium">
        <color indexed="64"/>
      </left>
      <right style="thin">
        <color rgb="FF00B0F0"/>
      </right>
      <top style="medium">
        <color indexed="64"/>
      </top>
      <bottom/>
      <diagonal/>
    </border>
    <border>
      <left style="thin">
        <color rgb="FF00B0F0"/>
      </left>
      <right style="thin">
        <color rgb="FF00B0F0"/>
      </right>
      <top style="medium">
        <color indexed="64"/>
      </top>
      <bottom/>
      <diagonal/>
    </border>
    <border>
      <left style="thin">
        <color rgb="FF00B0F0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rgb="FF00B0F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B0F0"/>
      </right>
      <top style="medium">
        <color indexed="64"/>
      </top>
      <bottom style="medium">
        <color indexed="64"/>
      </bottom>
      <diagonal/>
    </border>
    <border>
      <left style="thin">
        <color rgb="FF00B0F0"/>
      </left>
      <right style="thin">
        <color rgb="FF00B0F0"/>
      </right>
      <top style="medium">
        <color indexed="64"/>
      </top>
      <bottom style="medium">
        <color indexed="64"/>
      </bottom>
      <diagonal/>
    </border>
    <border>
      <left style="thin">
        <color rgb="FF00B0F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B0F0"/>
      </right>
      <top/>
      <bottom style="medium">
        <color indexed="64"/>
      </bottom>
      <diagonal/>
    </border>
    <border>
      <left style="thin">
        <color rgb="FF00B0F0"/>
      </left>
      <right style="thin">
        <color rgb="FF00B0F0"/>
      </right>
      <top/>
      <bottom style="medium">
        <color indexed="64"/>
      </bottom>
      <diagonal/>
    </border>
    <border>
      <left style="thin">
        <color rgb="FF00B0F0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/>
      <bottom style="thin">
        <color theme="8"/>
      </bottom>
      <diagonal/>
    </border>
    <border>
      <left/>
      <right style="thin">
        <color theme="8"/>
      </right>
      <top/>
      <bottom style="thin">
        <color theme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/>
      <right/>
      <top/>
      <bottom style="thin">
        <color theme="8"/>
      </bottom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  <border>
      <left style="thin">
        <color theme="3" tint="0.24994659260841701"/>
      </left>
      <right style="thin">
        <color theme="3" tint="0.24994659260841701"/>
      </right>
      <top style="thin">
        <color theme="3" tint="0.24994659260841701"/>
      </top>
      <bottom style="thin">
        <color theme="3" tint="0.24994659260841701"/>
      </bottom>
      <diagonal/>
    </border>
    <border>
      <left style="thin">
        <color theme="8"/>
      </left>
      <right style="thin">
        <color theme="8"/>
      </right>
      <top/>
      <bottom/>
      <diagonal/>
    </border>
    <border>
      <left style="thin">
        <color theme="8"/>
      </left>
      <right style="thin">
        <color theme="8"/>
      </right>
      <top/>
      <bottom style="thin">
        <color theme="8"/>
      </bottom>
      <diagonal/>
    </border>
    <border>
      <left style="thin">
        <color theme="8"/>
      </left>
      <right/>
      <top/>
      <bottom/>
      <diagonal/>
    </border>
    <border>
      <left style="thin">
        <color rgb="FF5B9BD5"/>
      </left>
      <right style="thin">
        <color rgb="FF5B9BD5"/>
      </right>
      <top style="thin">
        <color rgb="FF5B9BD5"/>
      </top>
      <bottom style="thin">
        <color rgb="FF5B9BD5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8" fillId="0" borderId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238">
    <xf numFmtId="0" fontId="0" fillId="0" borderId="0" xfId="0"/>
    <xf numFmtId="0" fontId="4" fillId="0" borderId="0" xfId="0" applyFont="1" applyAlignment="1">
      <alignment vertical="center"/>
    </xf>
    <xf numFmtId="4" fontId="5" fillId="0" borderId="0" xfId="0" applyNumberFormat="1" applyFont="1" applyAlignment="1">
      <alignment vertical="center"/>
    </xf>
    <xf numFmtId="4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 wrapText="1"/>
    </xf>
    <xf numFmtId="4" fontId="7" fillId="0" borderId="0" xfId="1" applyNumberFormat="1" applyFont="1" applyAlignment="1">
      <alignment horizontal="right" vertical="center"/>
    </xf>
    <xf numFmtId="0" fontId="3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 applyAlignment="1">
      <alignment vertical="top"/>
    </xf>
    <xf numFmtId="3" fontId="0" fillId="0" borderId="0" xfId="0" applyNumberFormat="1" applyAlignment="1">
      <alignment vertical="top"/>
    </xf>
    <xf numFmtId="0" fontId="0" fillId="7" borderId="2" xfId="0" applyFill="1" applyBorder="1" applyAlignment="1">
      <alignment vertical="top"/>
    </xf>
    <xf numFmtId="0" fontId="0" fillId="7" borderId="3" xfId="0" applyFill="1" applyBorder="1" applyAlignment="1">
      <alignment vertical="top"/>
    </xf>
    <xf numFmtId="0" fontId="0" fillId="7" borderId="4" xfId="0" applyFill="1" applyBorder="1" applyAlignment="1">
      <alignment vertical="top"/>
    </xf>
    <xf numFmtId="0" fontId="0" fillId="7" borderId="5" xfId="0" applyFill="1" applyBorder="1" applyAlignment="1">
      <alignment vertical="top"/>
    </xf>
    <xf numFmtId="3" fontId="0" fillId="7" borderId="5" xfId="0" applyNumberFormat="1" applyFill="1" applyBorder="1" applyAlignment="1">
      <alignment vertical="top" wrapText="1"/>
    </xf>
    <xf numFmtId="3" fontId="0" fillId="7" borderId="5" xfId="0" applyNumberFormat="1" applyFill="1" applyBorder="1" applyAlignment="1">
      <alignment vertical="top"/>
    </xf>
    <xf numFmtId="3" fontId="0" fillId="7" borderId="6" xfId="0" applyNumberFormat="1" applyFill="1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22" fillId="0" borderId="8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1" xfId="0" applyBorder="1" applyAlignment="1">
      <alignment vertical="top"/>
    </xf>
    <xf numFmtId="10" fontId="0" fillId="0" borderId="8" xfId="0" applyNumberFormat="1" applyBorder="1" applyAlignment="1">
      <alignment vertical="top"/>
    </xf>
    <xf numFmtId="3" fontId="0" fillId="0" borderId="8" xfId="0" applyNumberFormat="1" applyBorder="1" applyAlignment="1">
      <alignment vertical="top"/>
    </xf>
    <xf numFmtId="3" fontId="0" fillId="0" borderId="12" xfId="0" applyNumberFormat="1" applyBorder="1" applyAlignment="1">
      <alignment vertical="top"/>
    </xf>
    <xf numFmtId="0" fontId="0" fillId="0" borderId="8" xfId="0" applyBorder="1" applyAlignment="1">
      <alignment vertical="top" wrapText="1"/>
    </xf>
    <xf numFmtId="0" fontId="22" fillId="0" borderId="13" xfId="0" applyFont="1" applyBorder="1" applyAlignment="1">
      <alignment vertical="top"/>
    </xf>
    <xf numFmtId="0" fontId="0" fillId="0" borderId="14" xfId="0" applyBorder="1" applyAlignment="1">
      <alignment vertical="top"/>
    </xf>
    <xf numFmtId="0" fontId="0" fillId="0" borderId="15" xfId="0" applyBorder="1" applyAlignment="1">
      <alignment vertical="top"/>
    </xf>
    <xf numFmtId="0" fontId="0" fillId="0" borderId="16" xfId="0" applyBorder="1" applyAlignment="1">
      <alignment vertical="top"/>
    </xf>
    <xf numFmtId="10" fontId="0" fillId="0" borderId="13" xfId="0" applyNumberFormat="1" applyBorder="1" applyAlignment="1">
      <alignment vertical="top"/>
    </xf>
    <xf numFmtId="3" fontId="0" fillId="0" borderId="13" xfId="0" applyNumberFormat="1" applyBorder="1" applyAlignment="1">
      <alignment vertical="top"/>
    </xf>
    <xf numFmtId="3" fontId="0" fillId="0" borderId="1" xfId="0" applyNumberFormat="1" applyBorder="1" applyAlignment="1">
      <alignment vertical="top"/>
    </xf>
    <xf numFmtId="0" fontId="0" fillId="0" borderId="13" xfId="0" applyBorder="1" applyAlignment="1">
      <alignment vertical="top" wrapText="1"/>
    </xf>
    <xf numFmtId="0" fontId="0" fillId="0" borderId="13" xfId="0" applyBorder="1" applyAlignment="1">
      <alignment vertical="top"/>
    </xf>
    <xf numFmtId="3" fontId="0" fillId="0" borderId="17" xfId="0" applyNumberFormat="1" applyBorder="1" applyAlignment="1">
      <alignment vertical="top"/>
    </xf>
    <xf numFmtId="4" fontId="7" fillId="0" borderId="0" xfId="1" applyNumberFormat="1" applyFont="1" applyBorder="1" applyAlignment="1">
      <alignment horizontal="right" vertical="center"/>
    </xf>
    <xf numFmtId="4" fontId="10" fillId="6" borderId="18" xfId="1" applyNumberFormat="1" applyFont="1" applyFill="1" applyBorder="1" applyAlignment="1">
      <alignment horizontal="right" vertical="center" wrapText="1"/>
    </xf>
    <xf numFmtId="4" fontId="12" fillId="4" borderId="18" xfId="1" applyNumberFormat="1" applyFont="1" applyFill="1" applyBorder="1" applyAlignment="1">
      <alignment horizontal="right" vertical="center" wrapText="1"/>
    </xf>
    <xf numFmtId="4" fontId="12" fillId="5" borderId="18" xfId="1" applyNumberFormat="1" applyFont="1" applyFill="1" applyBorder="1" applyAlignment="1">
      <alignment horizontal="right" vertical="center" wrapText="1"/>
    </xf>
    <xf numFmtId="4" fontId="12" fillId="0" borderId="18" xfId="0" applyNumberFormat="1" applyFont="1" applyBorder="1" applyAlignment="1">
      <alignment horizontal="right" vertical="center" wrapText="1"/>
    </xf>
    <xf numFmtId="0" fontId="12" fillId="0" borderId="18" xfId="0" applyFont="1" applyBorder="1" applyAlignment="1">
      <alignment vertical="center" wrapText="1"/>
    </xf>
    <xf numFmtId="4" fontId="5" fillId="0" borderId="0" xfId="0" applyNumberFormat="1" applyFont="1" applyAlignment="1">
      <alignment horizontal="center" vertical="center"/>
    </xf>
    <xf numFmtId="4" fontId="7" fillId="0" borderId="0" xfId="1" applyNumberFormat="1" applyFont="1" applyBorder="1" applyAlignment="1">
      <alignment horizontal="center" vertical="center"/>
    </xf>
    <xf numFmtId="10" fontId="10" fillId="10" borderId="18" xfId="2" applyNumberFormat="1" applyFont="1" applyFill="1" applyBorder="1" applyAlignment="1">
      <alignment horizontal="center" vertical="center" wrapText="1"/>
    </xf>
    <xf numFmtId="10" fontId="21" fillId="10" borderId="18" xfId="2" applyNumberFormat="1" applyFont="1" applyFill="1" applyBorder="1" applyAlignment="1">
      <alignment horizontal="center" vertical="center" wrapText="1"/>
    </xf>
    <xf numFmtId="10" fontId="10" fillId="6" borderId="18" xfId="2" applyNumberFormat="1" applyFont="1" applyFill="1" applyBorder="1" applyAlignment="1">
      <alignment horizontal="center" vertical="center" wrapText="1"/>
    </xf>
    <xf numFmtId="4" fontId="10" fillId="10" borderId="19" xfId="0" applyNumberFormat="1" applyFont="1" applyFill="1" applyBorder="1" applyAlignment="1">
      <alignment horizontal="center" vertical="center" wrapText="1"/>
    </xf>
    <xf numFmtId="0" fontId="26" fillId="8" borderId="19" xfId="0" applyFont="1" applyFill="1" applyBorder="1" applyAlignment="1">
      <alignment horizontal="center" vertical="center" wrapText="1"/>
    </xf>
    <xf numFmtId="0" fontId="26" fillId="9" borderId="19" xfId="0" applyFont="1" applyFill="1" applyBorder="1" applyAlignment="1">
      <alignment horizontal="center" vertical="center" wrapText="1"/>
    </xf>
    <xf numFmtId="4" fontId="9" fillId="2" borderId="18" xfId="1" applyNumberFormat="1" applyFont="1" applyFill="1" applyBorder="1" applyAlignment="1">
      <alignment horizontal="center" vertical="center" wrapText="1"/>
    </xf>
    <xf numFmtId="1" fontId="29" fillId="0" borderId="0" xfId="4" applyNumberFormat="1" applyFont="1" applyAlignment="1">
      <alignment vertical="center"/>
    </xf>
    <xf numFmtId="0" fontId="30" fillId="0" borderId="0" xfId="4" applyFont="1" applyAlignment="1">
      <alignment horizontal="center" vertical="center"/>
    </xf>
    <xf numFmtId="1" fontId="30" fillId="0" borderId="0" xfId="4" applyNumberFormat="1" applyFont="1" applyAlignment="1">
      <alignment horizontal="center" vertical="center"/>
    </xf>
    <xf numFmtId="4" fontId="30" fillId="0" borderId="0" xfId="4" applyNumberFormat="1" applyFont="1" applyAlignment="1">
      <alignment horizontal="center" vertical="center"/>
    </xf>
    <xf numFmtId="0" fontId="31" fillId="0" borderId="0" xfId="4" applyFont="1" applyAlignment="1">
      <alignment horizontal="center" vertical="center"/>
    </xf>
    <xf numFmtId="166" fontId="30" fillId="0" borderId="25" xfId="4" applyNumberFormat="1" applyFont="1" applyBorder="1" applyAlignment="1">
      <alignment horizontal="center" vertical="center"/>
    </xf>
    <xf numFmtId="0" fontId="30" fillId="0" borderId="25" xfId="4" applyFont="1" applyBorder="1" applyAlignment="1">
      <alignment horizontal="center" vertical="center"/>
    </xf>
    <xf numFmtId="1" fontId="30" fillId="0" borderId="25" xfId="4" applyNumberFormat="1" applyFont="1" applyBorder="1" applyAlignment="1">
      <alignment horizontal="center" vertical="center"/>
    </xf>
    <xf numFmtId="167" fontId="30" fillId="0" borderId="25" xfId="4" applyNumberFormat="1" applyFont="1" applyBorder="1" applyAlignment="1">
      <alignment horizontal="center" vertical="center"/>
    </xf>
    <xf numFmtId="0" fontId="30" fillId="0" borderId="25" xfId="4" applyFont="1" applyBorder="1" applyAlignment="1">
      <alignment horizontal="left" vertical="center"/>
    </xf>
    <xf numFmtId="1" fontId="32" fillId="0" borderId="25" xfId="4" applyNumberFormat="1" applyFont="1" applyBorder="1" applyAlignment="1">
      <alignment horizontal="center" vertical="center"/>
    </xf>
    <xf numFmtId="14" fontId="32" fillId="0" borderId="25" xfId="4" applyNumberFormat="1" applyFont="1" applyBorder="1" applyAlignment="1">
      <alignment horizontal="center" vertical="center"/>
    </xf>
    <xf numFmtId="40" fontId="30" fillId="0" borderId="25" xfId="4" applyNumberFormat="1" applyFont="1" applyBorder="1" applyAlignment="1">
      <alignment horizontal="center" vertical="center"/>
    </xf>
    <xf numFmtId="0" fontId="30" fillId="0" borderId="25" xfId="4" applyFont="1" applyBorder="1" applyAlignment="1">
      <alignment vertical="center"/>
    </xf>
    <xf numFmtId="0" fontId="30" fillId="0" borderId="26" xfId="4" applyFont="1" applyBorder="1" applyAlignment="1">
      <alignment horizontal="left" vertical="center"/>
    </xf>
    <xf numFmtId="0" fontId="30" fillId="0" borderId="25" xfId="4" applyFont="1" applyBorder="1" applyAlignment="1">
      <alignment horizontal="left" vertical="center" wrapText="1"/>
    </xf>
    <xf numFmtId="166" fontId="30" fillId="0" borderId="27" xfId="4" applyNumberFormat="1" applyFont="1" applyBorder="1" applyAlignment="1">
      <alignment horizontal="center" vertical="center"/>
    </xf>
    <xf numFmtId="0" fontId="30" fillId="0" borderId="27" xfId="4" applyFont="1" applyBorder="1" applyAlignment="1">
      <alignment horizontal="center" vertical="center"/>
    </xf>
    <xf numFmtId="167" fontId="30" fillId="0" borderId="27" xfId="4" applyNumberFormat="1" applyFont="1" applyBorder="1" applyAlignment="1">
      <alignment horizontal="center" vertical="center"/>
    </xf>
    <xf numFmtId="0" fontId="30" fillId="0" borderId="27" xfId="4" applyFont="1" applyBorder="1" applyAlignment="1">
      <alignment horizontal="left" vertical="center"/>
    </xf>
    <xf numFmtId="1" fontId="32" fillId="0" borderId="27" xfId="4" applyNumberFormat="1" applyFont="1" applyBorder="1" applyAlignment="1">
      <alignment horizontal="center" vertical="center"/>
    </xf>
    <xf numFmtId="40" fontId="30" fillId="0" borderId="27" xfId="4" applyNumberFormat="1" applyFont="1" applyBorder="1" applyAlignment="1">
      <alignment horizontal="center" vertical="center"/>
    </xf>
    <xf numFmtId="166" fontId="30" fillId="0" borderId="28" xfId="4" applyNumberFormat="1" applyFont="1" applyBorder="1" applyAlignment="1">
      <alignment horizontal="center" vertical="center"/>
    </xf>
    <xf numFmtId="0" fontId="30" fillId="0" borderId="29" xfId="4" applyFont="1" applyBorder="1" applyAlignment="1">
      <alignment horizontal="left" vertical="center"/>
    </xf>
    <xf numFmtId="0" fontId="30" fillId="0" borderId="28" xfId="4" applyFont="1" applyBorder="1" applyAlignment="1">
      <alignment horizontal="center" vertical="center"/>
    </xf>
    <xf numFmtId="167" fontId="33" fillId="0" borderId="28" xfId="4" applyNumberFormat="1" applyFont="1" applyBorder="1" applyAlignment="1">
      <alignment horizontal="center" vertical="center"/>
    </xf>
    <xf numFmtId="0" fontId="22" fillId="0" borderId="28" xfId="4" applyFont="1" applyBorder="1" applyAlignment="1">
      <alignment horizontal="center" vertical="center"/>
    </xf>
    <xf numFmtId="2" fontId="22" fillId="0" borderId="28" xfId="4" applyNumberFormat="1" applyFont="1" applyBorder="1" applyAlignment="1">
      <alignment horizontal="center" vertical="center"/>
    </xf>
    <xf numFmtId="166" fontId="30" fillId="0" borderId="30" xfId="4" applyNumberFormat="1" applyFont="1" applyBorder="1" applyAlignment="1">
      <alignment horizontal="center" vertical="center"/>
    </xf>
    <xf numFmtId="0" fontId="30" fillId="0" borderId="30" xfId="4" applyFont="1" applyBorder="1" applyAlignment="1">
      <alignment horizontal="center" vertical="center"/>
    </xf>
    <xf numFmtId="167" fontId="30" fillId="0" borderId="30" xfId="4" applyNumberFormat="1" applyFont="1" applyBorder="1" applyAlignment="1">
      <alignment horizontal="center" vertical="center"/>
    </xf>
    <xf numFmtId="0" fontId="30" fillId="0" borderId="30" xfId="4" applyFont="1" applyBorder="1" applyAlignment="1">
      <alignment horizontal="left" vertical="center"/>
    </xf>
    <xf numFmtId="4" fontId="30" fillId="0" borderId="30" xfId="4" applyNumberFormat="1" applyFont="1" applyBorder="1" applyAlignment="1">
      <alignment horizontal="center" vertical="center"/>
    </xf>
    <xf numFmtId="40" fontId="30" fillId="0" borderId="30" xfId="4" applyNumberFormat="1" applyFont="1" applyBorder="1" applyAlignment="1">
      <alignment horizontal="center" vertical="center"/>
    </xf>
    <xf numFmtId="4" fontId="30" fillId="0" borderId="25" xfId="4" applyNumberFormat="1" applyFont="1" applyBorder="1" applyAlignment="1">
      <alignment horizontal="center" vertical="center"/>
    </xf>
    <xf numFmtId="0" fontId="30" fillId="0" borderId="25" xfId="4" quotePrefix="1" applyFont="1" applyBorder="1" applyAlignment="1">
      <alignment horizontal="center" vertical="center"/>
    </xf>
    <xf numFmtId="0" fontId="30" fillId="0" borderId="25" xfId="4" applyFont="1" applyBorder="1" applyAlignment="1">
      <alignment horizontal="center" vertical="center" wrapText="1"/>
    </xf>
    <xf numFmtId="2" fontId="30" fillId="0" borderId="25" xfId="4" applyNumberFormat="1" applyFont="1" applyBorder="1" applyAlignment="1">
      <alignment horizontal="center" vertical="center" wrapText="1"/>
    </xf>
    <xf numFmtId="166" fontId="30" fillId="12" borderId="0" xfId="4" applyNumberFormat="1" applyFont="1" applyFill="1" applyAlignment="1">
      <alignment horizontal="center" vertical="center"/>
    </xf>
    <xf numFmtId="1" fontId="30" fillId="12" borderId="0" xfId="4" applyNumberFormat="1" applyFont="1" applyFill="1" applyAlignment="1">
      <alignment horizontal="center" vertical="center"/>
    </xf>
    <xf numFmtId="0" fontId="30" fillId="12" borderId="0" xfId="4" applyFont="1" applyFill="1" applyAlignment="1">
      <alignment horizontal="center" vertical="center"/>
    </xf>
    <xf numFmtId="0" fontId="30" fillId="12" borderId="0" xfId="4" applyFont="1" applyFill="1" applyAlignment="1">
      <alignment horizontal="left" vertical="center"/>
    </xf>
    <xf numFmtId="4" fontId="30" fillId="12" borderId="0" xfId="4" applyNumberFormat="1" applyFont="1" applyFill="1" applyAlignment="1">
      <alignment horizontal="center" vertical="center"/>
    </xf>
    <xf numFmtId="166" fontId="30" fillId="0" borderId="0" xfId="4" applyNumberFormat="1" applyFont="1" applyAlignment="1">
      <alignment horizontal="center" vertical="center"/>
    </xf>
    <xf numFmtId="0" fontId="30" fillId="0" borderId="0" xfId="4" applyFont="1" applyAlignment="1">
      <alignment horizontal="left" vertical="center"/>
    </xf>
    <xf numFmtId="4" fontId="30" fillId="0" borderId="31" xfId="4" applyNumberFormat="1" applyFont="1" applyBorder="1" applyAlignment="1">
      <alignment horizontal="center" vertical="center"/>
    </xf>
    <xf numFmtId="166" fontId="35" fillId="2" borderId="0" xfId="4" applyNumberFormat="1" applyFont="1" applyFill="1" applyAlignment="1" applyProtection="1">
      <alignment horizontal="center" vertical="center" wrapText="1"/>
      <protection locked="0"/>
    </xf>
    <xf numFmtId="1" fontId="35" fillId="2" borderId="0" xfId="4" applyNumberFormat="1" applyFont="1" applyFill="1" applyAlignment="1" applyProtection="1">
      <alignment horizontal="center" vertical="center" wrapText="1"/>
      <protection locked="0"/>
    </xf>
    <xf numFmtId="0" fontId="35" fillId="2" borderId="0" xfId="4" applyFont="1" applyFill="1" applyAlignment="1" applyProtection="1">
      <alignment horizontal="center" vertical="center" wrapText="1"/>
      <protection locked="0"/>
    </xf>
    <xf numFmtId="4" fontId="35" fillId="2" borderId="0" xfId="4" applyNumberFormat="1" applyFont="1" applyFill="1" applyAlignment="1" applyProtection="1">
      <alignment horizontal="center" vertical="center" wrapText="1"/>
      <protection locked="0"/>
    </xf>
    <xf numFmtId="0" fontId="9" fillId="3" borderId="18" xfId="0" applyFont="1" applyFill="1" applyBorder="1" applyAlignment="1">
      <alignment horizontal="center" vertical="center" wrapText="1"/>
    </xf>
    <xf numFmtId="0" fontId="25" fillId="0" borderId="18" xfId="0" applyFont="1" applyBorder="1" applyAlignment="1">
      <alignment vertical="center" wrapText="1"/>
    </xf>
    <xf numFmtId="4" fontId="12" fillId="4" borderId="36" xfId="6" applyNumberFormat="1" applyFont="1" applyFill="1" applyBorder="1" applyAlignment="1">
      <alignment horizontal="right" vertical="center" wrapText="1"/>
    </xf>
    <xf numFmtId="10" fontId="10" fillId="10" borderId="37" xfId="7" applyNumberFormat="1" applyFont="1" applyFill="1" applyBorder="1" applyAlignment="1">
      <alignment horizontal="center" vertical="center" wrapText="1"/>
    </xf>
    <xf numFmtId="0" fontId="12" fillId="0" borderId="18" xfId="0" applyFont="1" applyBorder="1" applyAlignment="1">
      <alignment horizontal="left" vertical="center" wrapText="1"/>
    </xf>
    <xf numFmtId="10" fontId="37" fillId="10" borderId="18" xfId="2" applyNumberFormat="1" applyFont="1" applyFill="1" applyBorder="1" applyAlignment="1">
      <alignment horizontal="center" vertical="center" wrapText="1"/>
    </xf>
    <xf numFmtId="4" fontId="38" fillId="6" borderId="18" xfId="1" applyNumberFormat="1" applyFont="1" applyFill="1" applyBorder="1" applyAlignment="1">
      <alignment horizontal="right" vertical="center" wrapText="1"/>
    </xf>
    <xf numFmtId="4" fontId="7" fillId="0" borderId="0" xfId="1" applyNumberFormat="1" applyFont="1" applyAlignment="1">
      <alignment horizontal="left" vertical="center" wrapText="1"/>
    </xf>
    <xf numFmtId="164" fontId="7" fillId="0" borderId="0" xfId="1" applyFont="1" applyAlignment="1">
      <alignment horizontal="left"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4" fillId="6" borderId="18" xfId="0" applyFont="1" applyFill="1" applyBorder="1" applyAlignment="1">
      <alignment horizontal="left" vertical="center" wrapText="1"/>
    </xf>
    <xf numFmtId="4" fontId="15" fillId="6" borderId="18" xfId="0" applyNumberFormat="1" applyFont="1" applyFill="1" applyBorder="1" applyAlignment="1">
      <alignment horizontal="right" vertical="center" wrapText="1"/>
    </xf>
    <xf numFmtId="1" fontId="16" fillId="6" borderId="18" xfId="2" applyNumberFormat="1" applyFont="1" applyFill="1" applyBorder="1" applyAlignment="1">
      <alignment horizontal="left" vertical="center" wrapText="1"/>
    </xf>
    <xf numFmtId="1" fontId="13" fillId="0" borderId="18" xfId="2" applyNumberFormat="1" applyFont="1" applyBorder="1" applyAlignment="1">
      <alignment horizontal="left" vertical="center" wrapText="1"/>
    </xf>
    <xf numFmtId="4" fontId="23" fillId="9" borderId="18" xfId="0" applyNumberFormat="1" applyFont="1" applyFill="1" applyBorder="1" applyAlignment="1">
      <alignment vertical="center" wrapText="1"/>
    </xf>
    <xf numFmtId="0" fontId="23" fillId="9" borderId="18" xfId="0" applyFont="1" applyFill="1" applyBorder="1" applyAlignment="1">
      <alignment vertical="center" wrapText="1"/>
    </xf>
    <xf numFmtId="1" fontId="19" fillId="0" borderId="18" xfId="2" applyNumberFormat="1" applyFont="1" applyBorder="1" applyAlignment="1">
      <alignment horizontal="left" vertical="center" wrapText="1"/>
    </xf>
    <xf numFmtId="0" fontId="12" fillId="0" borderId="36" xfId="5" applyFont="1" applyBorder="1" applyAlignment="1">
      <alignment horizontal="left" vertical="center" wrapText="1"/>
    </xf>
    <xf numFmtId="4" fontId="12" fillId="0" borderId="36" xfId="5" applyNumberFormat="1" applyFont="1" applyBorder="1" applyAlignment="1">
      <alignment horizontal="right" vertical="center" wrapText="1"/>
    </xf>
    <xf numFmtId="0" fontId="9" fillId="2" borderId="18" xfId="0" applyFont="1" applyFill="1" applyBorder="1" applyAlignment="1">
      <alignment horizontal="left" vertical="center" wrapText="1"/>
    </xf>
    <xf numFmtId="4" fontId="27" fillId="2" borderId="18" xfId="0" applyNumberFormat="1" applyFont="1" applyFill="1" applyBorder="1" applyAlignment="1">
      <alignment horizontal="right" vertical="center" wrapText="1"/>
    </xf>
    <xf numFmtId="1" fontId="13" fillId="0" borderId="32" xfId="2" applyNumberFormat="1" applyFont="1" applyBorder="1" applyAlignment="1">
      <alignment horizontal="left" vertical="center" wrapText="1"/>
    </xf>
    <xf numFmtId="0" fontId="24" fillId="0" borderId="0" xfId="0" applyFont="1" applyAlignment="1">
      <alignment vertical="center"/>
    </xf>
    <xf numFmtId="0" fontId="12" fillId="0" borderId="37" xfId="5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horizontal="left" vertical="center" wrapText="1"/>
    </xf>
    <xf numFmtId="4" fontId="3" fillId="0" borderId="0" xfId="0" applyNumberFormat="1" applyFont="1" applyAlignment="1">
      <alignment horizontal="right" vertical="center"/>
    </xf>
    <xf numFmtId="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" fontId="23" fillId="8" borderId="41" xfId="0" applyNumberFormat="1" applyFont="1" applyFill="1" applyBorder="1" applyAlignment="1">
      <alignment horizontal="right" vertical="center" wrapText="1"/>
    </xf>
    <xf numFmtId="169" fontId="4" fillId="0" borderId="0" xfId="0" applyNumberFormat="1" applyFont="1" applyAlignment="1">
      <alignment vertical="center"/>
    </xf>
    <xf numFmtId="169" fontId="30" fillId="0" borderId="0" xfId="4" applyNumberFormat="1" applyFont="1" applyAlignment="1">
      <alignment horizontal="center" vertical="center"/>
    </xf>
    <xf numFmtId="169" fontId="35" fillId="2" borderId="0" xfId="4" applyNumberFormat="1" applyFont="1" applyFill="1" applyAlignment="1" applyProtection="1">
      <alignment horizontal="center" vertical="center" wrapText="1"/>
      <protection locked="0"/>
    </xf>
    <xf numFmtId="169" fontId="30" fillId="0" borderId="25" xfId="4" applyNumberFormat="1" applyFont="1" applyBorder="1" applyAlignment="1">
      <alignment horizontal="center" vertical="center"/>
    </xf>
    <xf numFmtId="169" fontId="30" fillId="0" borderId="25" xfId="4" quotePrefix="1" applyNumberFormat="1" applyFont="1" applyBorder="1" applyAlignment="1">
      <alignment horizontal="center" vertical="center"/>
    </xf>
    <xf numFmtId="169" fontId="30" fillId="0" borderId="27" xfId="4" applyNumberFormat="1" applyFont="1" applyBorder="1" applyAlignment="1">
      <alignment horizontal="center" vertical="center"/>
    </xf>
    <xf numFmtId="169" fontId="30" fillId="0" borderId="28" xfId="4" applyNumberFormat="1" applyFont="1" applyBorder="1" applyAlignment="1">
      <alignment horizontal="center" vertical="center"/>
    </xf>
    <xf numFmtId="169" fontId="33" fillId="0" borderId="28" xfId="4" applyNumberFormat="1" applyFont="1" applyBorder="1" applyAlignment="1">
      <alignment horizontal="center" vertical="center"/>
    </xf>
    <xf numFmtId="169" fontId="30" fillId="0" borderId="28" xfId="4" quotePrefix="1" applyNumberFormat="1" applyFont="1" applyBorder="1" applyAlignment="1">
      <alignment horizontal="center" vertical="center"/>
    </xf>
    <xf numFmtId="169" fontId="30" fillId="0" borderId="30" xfId="4" applyNumberFormat="1" applyFont="1" applyBorder="1" applyAlignment="1">
      <alignment horizontal="center" vertical="center"/>
    </xf>
    <xf numFmtId="169" fontId="30" fillId="0" borderId="25" xfId="4" applyNumberFormat="1" applyFont="1" applyBorder="1" applyAlignment="1">
      <alignment horizontal="center" vertical="center" wrapText="1"/>
    </xf>
    <xf numFmtId="169" fontId="30" fillId="12" borderId="0" xfId="4" applyNumberFormat="1" applyFont="1" applyFill="1" applyAlignment="1">
      <alignment horizontal="center" vertical="center"/>
    </xf>
    <xf numFmtId="1" fontId="32" fillId="0" borderId="25" xfId="4" quotePrefix="1" applyNumberFormat="1" applyFont="1" applyBorder="1" applyAlignment="1">
      <alignment horizontal="center" vertical="center"/>
    </xf>
    <xf numFmtId="0" fontId="28" fillId="0" borderId="0" xfId="4" applyAlignment="1">
      <alignment vertical="center"/>
    </xf>
    <xf numFmtId="0" fontId="22" fillId="0" borderId="28" xfId="4" applyFont="1" applyBorder="1" applyAlignment="1">
      <alignment vertical="center"/>
    </xf>
    <xf numFmtId="0" fontId="22" fillId="0" borderId="28" xfId="4" applyFont="1" applyBorder="1" applyAlignment="1">
      <alignment horizontal="center" vertical="center" wrapText="1"/>
    </xf>
    <xf numFmtId="0" fontId="22" fillId="0" borderId="28" xfId="4" quotePrefix="1" applyFont="1" applyBorder="1" applyAlignment="1">
      <alignment horizontal="center" vertical="center"/>
    </xf>
    <xf numFmtId="0" fontId="33" fillId="0" borderId="28" xfId="4" applyFont="1" applyBorder="1" applyAlignment="1">
      <alignment horizontal="center" vertical="center"/>
    </xf>
    <xf numFmtId="2" fontId="33" fillId="0" borderId="28" xfId="4" applyNumberFormat="1" applyFont="1" applyBorder="1" applyAlignment="1">
      <alignment horizontal="center" vertical="center"/>
    </xf>
    <xf numFmtId="168" fontId="22" fillId="0" borderId="28" xfId="4" applyNumberFormat="1" applyFont="1" applyBorder="1" applyAlignment="1">
      <alignment horizontal="center" vertical="center"/>
    </xf>
    <xf numFmtId="0" fontId="33" fillId="0" borderId="28" xfId="4" applyFont="1" applyBorder="1" applyAlignment="1">
      <alignment vertical="center"/>
    </xf>
    <xf numFmtId="0" fontId="34" fillId="0" borderId="28" xfId="4" applyFont="1" applyBorder="1" applyAlignment="1">
      <alignment horizontal="center" vertical="center"/>
    </xf>
    <xf numFmtId="40" fontId="30" fillId="0" borderId="25" xfId="4" applyNumberFormat="1" applyFont="1" applyBorder="1" applyAlignment="1">
      <alignment horizontal="left" vertical="center"/>
    </xf>
    <xf numFmtId="0" fontId="1" fillId="0" borderId="0" xfId="8" applyAlignment="1">
      <alignment vertical="center"/>
    </xf>
    <xf numFmtId="2" fontId="40" fillId="16" borderId="42" xfId="8" applyNumberFormat="1" applyFont="1" applyFill="1" applyBorder="1" applyAlignment="1">
      <alignment horizontal="center" vertical="center" wrapText="1"/>
    </xf>
    <xf numFmtId="2" fontId="26" fillId="17" borderId="42" xfId="8" applyNumberFormat="1" applyFont="1" applyFill="1" applyBorder="1" applyAlignment="1">
      <alignment horizontal="center" vertical="center" wrapText="1"/>
    </xf>
    <xf numFmtId="0" fontId="40" fillId="16" borderId="42" xfId="8" applyFont="1" applyFill="1" applyBorder="1" applyAlignment="1">
      <alignment horizontal="center" vertical="center" wrapText="1"/>
    </xf>
    <xf numFmtId="0" fontId="26" fillId="17" borderId="42" xfId="8" applyFont="1" applyFill="1" applyBorder="1" applyAlignment="1">
      <alignment horizontal="center" vertical="center" wrapText="1"/>
    </xf>
    <xf numFmtId="0" fontId="1" fillId="0" borderId="0" xfId="8" applyAlignment="1">
      <alignment horizontal="center" vertical="center"/>
    </xf>
    <xf numFmtId="4" fontId="23" fillId="0" borderId="42" xfId="8" applyNumberFormat="1" applyFont="1" applyBorder="1" applyAlignment="1">
      <alignment horizontal="right" vertical="center" wrapText="1"/>
    </xf>
    <xf numFmtId="4" fontId="23" fillId="18" borderId="42" xfId="8" applyNumberFormat="1" applyFont="1" applyFill="1" applyBorder="1" applyAlignment="1">
      <alignment horizontal="right" vertical="center" wrapText="1"/>
    </xf>
    <xf numFmtId="4" fontId="1" fillId="0" borderId="0" xfId="8" applyNumberFormat="1" applyAlignment="1">
      <alignment vertical="center"/>
    </xf>
    <xf numFmtId="0" fontId="30" fillId="0" borderId="46" xfId="0" applyFont="1" applyBorder="1" applyAlignment="1">
      <alignment horizontal="left" vertical="center"/>
    </xf>
    <xf numFmtId="1" fontId="32" fillId="0" borderId="47" xfId="0" applyNumberFormat="1" applyFont="1" applyBorder="1" applyAlignment="1">
      <alignment horizontal="center" vertical="center"/>
    </xf>
    <xf numFmtId="14" fontId="32" fillId="0" borderId="47" xfId="0" applyNumberFormat="1" applyFont="1" applyBorder="1" applyAlignment="1">
      <alignment horizontal="center" vertical="center"/>
    </xf>
    <xf numFmtId="0" fontId="30" fillId="0" borderId="47" xfId="0" applyFont="1" applyBorder="1" applyAlignment="1">
      <alignment horizontal="center" vertical="center"/>
    </xf>
    <xf numFmtId="40" fontId="30" fillId="0" borderId="47" xfId="0" applyNumberFormat="1" applyFont="1" applyBorder="1" applyAlignment="1">
      <alignment horizontal="center" vertical="center"/>
    </xf>
    <xf numFmtId="3" fontId="10" fillId="6" borderId="18" xfId="1" applyNumberFormat="1" applyFont="1" applyFill="1" applyBorder="1" applyAlignment="1">
      <alignment horizontal="center" vertical="center" wrapText="1"/>
    </xf>
    <xf numFmtId="0" fontId="23" fillId="8" borderId="37" xfId="5" applyFont="1" applyFill="1" applyBorder="1" applyAlignment="1">
      <alignment horizontal="center" vertical="center" wrapText="1"/>
    </xf>
    <xf numFmtId="0" fontId="21" fillId="13" borderId="37" xfId="6" applyNumberFormat="1" applyFont="1" applyFill="1" applyBorder="1" applyAlignment="1">
      <alignment horizontal="center" vertical="center" wrapText="1"/>
    </xf>
    <xf numFmtId="4" fontId="21" fillId="13" borderId="37" xfId="6" applyNumberFormat="1" applyFont="1" applyFill="1" applyBorder="1" applyAlignment="1">
      <alignment horizontal="center" vertical="center" wrapText="1"/>
    </xf>
    <xf numFmtId="0" fontId="23" fillId="9" borderId="18" xfId="0" applyFont="1" applyFill="1" applyBorder="1" applyAlignment="1">
      <alignment horizontal="center" vertical="center" wrapText="1"/>
    </xf>
    <xf numFmtId="4" fontId="42" fillId="19" borderId="42" xfId="8" applyNumberFormat="1" applyFont="1" applyFill="1" applyBorder="1" applyAlignment="1">
      <alignment horizontal="right" vertical="center" wrapText="1"/>
    </xf>
    <xf numFmtId="4" fontId="9" fillId="2" borderId="20" xfId="1" applyNumberFormat="1" applyFont="1" applyFill="1" applyBorder="1" applyAlignment="1">
      <alignment horizontal="center" vertical="center" wrapText="1"/>
    </xf>
    <xf numFmtId="4" fontId="9" fillId="2" borderId="22" xfId="1" applyNumberFormat="1" applyFont="1" applyFill="1" applyBorder="1" applyAlignment="1">
      <alignment horizontal="center" vertical="center" wrapText="1"/>
    </xf>
    <xf numFmtId="4" fontId="9" fillId="2" borderId="20" xfId="0" applyNumberFormat="1" applyFont="1" applyFill="1" applyBorder="1" applyAlignment="1">
      <alignment horizontal="center" vertical="center" wrapText="1"/>
    </xf>
    <xf numFmtId="4" fontId="9" fillId="2" borderId="21" xfId="0" applyNumberFormat="1" applyFont="1" applyFill="1" applyBorder="1" applyAlignment="1">
      <alignment horizontal="center" vertical="center" wrapText="1"/>
    </xf>
    <xf numFmtId="4" fontId="9" fillId="2" borderId="22" xfId="0" applyNumberFormat="1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left" vertical="center" wrapText="1"/>
    </xf>
    <xf numFmtId="0" fontId="11" fillId="2" borderId="24" xfId="0" applyFont="1" applyFill="1" applyBorder="1" applyAlignment="1">
      <alignment horizontal="left" vertical="center" wrapText="1"/>
    </xf>
    <xf numFmtId="0" fontId="12" fillId="0" borderId="18" xfId="0" applyFont="1" applyBorder="1" applyAlignment="1">
      <alignment horizontal="left" vertical="center" wrapText="1"/>
    </xf>
    <xf numFmtId="1" fontId="13" fillId="0" borderId="40" xfId="2" applyNumberFormat="1" applyFont="1" applyBorder="1" applyAlignment="1">
      <alignment horizontal="center" vertical="center" wrapText="1"/>
    </xf>
    <xf numFmtId="165" fontId="18" fillId="4" borderId="32" xfId="1" applyNumberFormat="1" applyFont="1" applyFill="1" applyBorder="1" applyAlignment="1">
      <alignment horizontal="center" vertical="center" wrapText="1"/>
    </xf>
    <xf numFmtId="165" fontId="18" fillId="4" borderId="33" xfId="1" applyNumberFormat="1" applyFont="1" applyFill="1" applyBorder="1" applyAlignment="1">
      <alignment horizontal="center" vertical="center" wrapText="1"/>
    </xf>
    <xf numFmtId="165" fontId="18" fillId="4" borderId="34" xfId="1" applyNumberFormat="1" applyFont="1" applyFill="1" applyBorder="1" applyAlignment="1">
      <alignment horizontal="center" vertical="center" wrapText="1"/>
    </xf>
    <xf numFmtId="165" fontId="18" fillId="4" borderId="23" xfId="1" applyNumberFormat="1" applyFont="1" applyFill="1" applyBorder="1" applyAlignment="1">
      <alignment horizontal="center" vertical="center" wrapText="1"/>
    </xf>
    <xf numFmtId="165" fontId="18" fillId="4" borderId="35" xfId="1" applyNumberFormat="1" applyFont="1" applyFill="1" applyBorder="1" applyAlignment="1">
      <alignment horizontal="center" vertical="center" wrapText="1"/>
    </xf>
    <xf numFmtId="165" fontId="18" fillId="4" borderId="24" xfId="1" applyNumberFormat="1" applyFont="1" applyFill="1" applyBorder="1" applyAlignment="1">
      <alignment horizontal="center" vertical="center" wrapText="1"/>
    </xf>
    <xf numFmtId="165" fontId="18" fillId="5" borderId="32" xfId="1" applyNumberFormat="1" applyFont="1" applyFill="1" applyBorder="1" applyAlignment="1">
      <alignment horizontal="center" vertical="center" wrapText="1"/>
    </xf>
    <xf numFmtId="165" fontId="18" fillId="5" borderId="33" xfId="1" applyNumberFormat="1" applyFont="1" applyFill="1" applyBorder="1" applyAlignment="1">
      <alignment horizontal="center" vertical="center" wrapText="1"/>
    </xf>
    <xf numFmtId="165" fontId="18" fillId="5" borderId="34" xfId="1" applyNumberFormat="1" applyFont="1" applyFill="1" applyBorder="1" applyAlignment="1">
      <alignment horizontal="center" vertical="center" wrapText="1"/>
    </xf>
    <xf numFmtId="165" fontId="18" fillId="5" borderId="23" xfId="1" applyNumberFormat="1" applyFont="1" applyFill="1" applyBorder="1" applyAlignment="1">
      <alignment horizontal="center" vertical="center" wrapText="1"/>
    </xf>
    <xf numFmtId="165" fontId="18" fillId="5" borderId="35" xfId="1" applyNumberFormat="1" applyFont="1" applyFill="1" applyBorder="1" applyAlignment="1">
      <alignment horizontal="center" vertical="center" wrapText="1"/>
    </xf>
    <xf numFmtId="165" fontId="18" fillId="5" borderId="24" xfId="1" applyNumberFormat="1" applyFont="1" applyFill="1" applyBorder="1" applyAlignment="1">
      <alignment horizontal="center" vertical="center" wrapText="1"/>
    </xf>
    <xf numFmtId="165" fontId="36" fillId="2" borderId="32" xfId="1" applyNumberFormat="1" applyFont="1" applyFill="1" applyBorder="1" applyAlignment="1">
      <alignment horizontal="center" vertical="center" wrapText="1"/>
    </xf>
    <xf numFmtId="165" fontId="36" fillId="2" borderId="33" xfId="1" applyNumberFormat="1" applyFont="1" applyFill="1" applyBorder="1" applyAlignment="1">
      <alignment horizontal="center" vertical="center" wrapText="1"/>
    </xf>
    <xf numFmtId="165" fontId="36" fillId="2" borderId="34" xfId="1" applyNumberFormat="1" applyFont="1" applyFill="1" applyBorder="1" applyAlignment="1">
      <alignment horizontal="center" vertical="center" wrapText="1"/>
    </xf>
    <xf numFmtId="165" fontId="36" fillId="2" borderId="23" xfId="1" applyNumberFormat="1" applyFont="1" applyFill="1" applyBorder="1" applyAlignment="1">
      <alignment horizontal="center" vertical="center" wrapText="1"/>
    </xf>
    <xf numFmtId="165" fontId="36" fillId="2" borderId="35" xfId="1" applyNumberFormat="1" applyFont="1" applyFill="1" applyBorder="1" applyAlignment="1">
      <alignment horizontal="center" vertical="center" wrapText="1"/>
    </xf>
    <xf numFmtId="165" fontId="36" fillId="2" borderId="24" xfId="1" applyNumberFormat="1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1" fontId="13" fillId="0" borderId="19" xfId="2" applyNumberFormat="1" applyFont="1" applyBorder="1" applyAlignment="1">
      <alignment horizontal="left" vertical="center" wrapText="1"/>
    </xf>
    <xf numFmtId="1" fontId="13" fillId="0" borderId="38" xfId="2" applyNumberFormat="1" applyFont="1" applyBorder="1" applyAlignment="1">
      <alignment horizontal="left" vertical="center" wrapText="1"/>
    </xf>
    <xf numFmtId="1" fontId="13" fillId="0" borderId="39" xfId="2" applyNumberFormat="1" applyFont="1" applyBorder="1" applyAlignment="1">
      <alignment horizontal="left" vertical="center" wrapText="1"/>
    </xf>
    <xf numFmtId="1" fontId="38" fillId="21" borderId="42" xfId="8" applyNumberFormat="1" applyFont="1" applyFill="1" applyBorder="1" applyAlignment="1">
      <alignment horizontal="center" vertical="center" wrapText="1"/>
    </xf>
    <xf numFmtId="1" fontId="38" fillId="22" borderId="42" xfId="8" applyNumberFormat="1" applyFont="1" applyFill="1" applyBorder="1" applyAlignment="1">
      <alignment horizontal="center" vertical="center" wrapText="1"/>
    </xf>
    <xf numFmtId="0" fontId="39" fillId="0" borderId="43" xfId="8" applyFont="1" applyBorder="1" applyAlignment="1">
      <alignment horizontal="center" vertical="center"/>
    </xf>
    <xf numFmtId="0" fontId="39" fillId="0" borderId="44" xfId="8" applyFont="1" applyBorder="1" applyAlignment="1">
      <alignment horizontal="center" vertical="center"/>
    </xf>
    <xf numFmtId="0" fontId="39" fillId="0" borderId="45" xfId="8" applyFont="1" applyBorder="1" applyAlignment="1">
      <alignment horizontal="center" vertical="center"/>
    </xf>
    <xf numFmtId="2" fontId="40" fillId="2" borderId="42" xfId="8" quotePrefix="1" applyNumberFormat="1" applyFont="1" applyFill="1" applyBorder="1" applyAlignment="1">
      <alignment horizontal="center" vertical="center" wrapText="1"/>
    </xf>
    <xf numFmtId="1" fontId="38" fillId="11" borderId="42" xfId="8" applyNumberFormat="1" applyFont="1" applyFill="1" applyBorder="1" applyAlignment="1">
      <alignment horizontal="center" vertical="center" wrapText="1"/>
    </xf>
    <xf numFmtId="4" fontId="38" fillId="20" borderId="42" xfId="8" applyNumberFormat="1" applyFont="1" applyFill="1" applyBorder="1" applyAlignment="1">
      <alignment horizontal="center" vertical="center" wrapText="1"/>
    </xf>
    <xf numFmtId="4" fontId="12" fillId="20" borderId="42" xfId="8" applyNumberFormat="1" applyFont="1" applyFill="1" applyBorder="1" applyAlignment="1">
      <alignment horizontal="center" vertical="center" wrapText="1"/>
    </xf>
    <xf numFmtId="1" fontId="38" fillId="20" borderId="42" xfId="8" applyNumberFormat="1" applyFont="1" applyFill="1" applyBorder="1" applyAlignment="1">
      <alignment horizontal="center" vertical="center" wrapText="1"/>
    </xf>
    <xf numFmtId="0" fontId="40" fillId="2" borderId="42" xfId="8" quotePrefix="1" applyFont="1" applyFill="1" applyBorder="1" applyAlignment="1">
      <alignment horizontal="center" vertical="center" wrapText="1"/>
    </xf>
    <xf numFmtId="17" fontId="40" fillId="2" borderId="42" xfId="8" quotePrefix="1" applyNumberFormat="1" applyFont="1" applyFill="1" applyBorder="1" applyAlignment="1">
      <alignment horizontal="center" vertical="center" wrapText="1"/>
    </xf>
    <xf numFmtId="4" fontId="38" fillId="19" borderId="42" xfId="8" applyNumberFormat="1" applyFont="1" applyFill="1" applyBorder="1" applyAlignment="1">
      <alignment horizontal="center" vertical="center" wrapText="1"/>
    </xf>
    <xf numFmtId="4" fontId="23" fillId="0" borderId="42" xfId="8" applyNumberFormat="1" applyFont="1" applyBorder="1" applyAlignment="1">
      <alignment horizontal="center" vertical="center" wrapText="1"/>
    </xf>
    <xf numFmtId="1" fontId="40" fillId="14" borderId="42" xfId="8" applyNumberFormat="1" applyFont="1" applyFill="1" applyBorder="1" applyAlignment="1">
      <alignment horizontal="center" vertical="center" wrapText="1"/>
    </xf>
    <xf numFmtId="1" fontId="40" fillId="15" borderId="42" xfId="8" applyNumberFormat="1" applyFont="1" applyFill="1" applyBorder="1" applyAlignment="1">
      <alignment horizontal="center" vertical="center" wrapText="1"/>
    </xf>
    <xf numFmtId="4" fontId="41" fillId="22" borderId="43" xfId="8" applyNumberFormat="1" applyFont="1" applyFill="1" applyBorder="1" applyAlignment="1">
      <alignment horizontal="center" vertical="center" wrapText="1"/>
    </xf>
    <xf numFmtId="4" fontId="41" fillId="22" borderId="44" xfId="8" applyNumberFormat="1" applyFont="1" applyFill="1" applyBorder="1" applyAlignment="1">
      <alignment horizontal="center" vertical="center" wrapText="1"/>
    </xf>
    <xf numFmtId="4" fontId="41" fillId="22" borderId="45" xfId="8" applyNumberFormat="1" applyFont="1" applyFill="1" applyBorder="1" applyAlignment="1">
      <alignment horizontal="center" vertical="center" wrapText="1"/>
    </xf>
    <xf numFmtId="4" fontId="41" fillId="21" borderId="43" xfId="8" applyNumberFormat="1" applyFont="1" applyFill="1" applyBorder="1" applyAlignment="1">
      <alignment horizontal="center" vertical="center" wrapText="1"/>
    </xf>
    <xf numFmtId="4" fontId="41" fillId="21" borderId="44" xfId="8" applyNumberFormat="1" applyFont="1" applyFill="1" applyBorder="1" applyAlignment="1">
      <alignment horizontal="center" vertical="center" wrapText="1"/>
    </xf>
    <xf numFmtId="4" fontId="41" fillId="21" borderId="45" xfId="8" applyNumberFormat="1" applyFont="1" applyFill="1" applyBorder="1" applyAlignment="1">
      <alignment horizontal="center" vertical="center" wrapText="1"/>
    </xf>
    <xf numFmtId="4" fontId="41" fillId="11" borderId="43" xfId="8" applyNumberFormat="1" applyFont="1" applyFill="1" applyBorder="1" applyAlignment="1">
      <alignment horizontal="center" vertical="center" wrapText="1"/>
    </xf>
    <xf numFmtId="4" fontId="41" fillId="11" borderId="44" xfId="8" applyNumberFormat="1" applyFont="1" applyFill="1" applyBorder="1" applyAlignment="1">
      <alignment horizontal="center" vertical="center" wrapText="1"/>
    </xf>
    <xf numFmtId="4" fontId="41" fillId="11" borderId="45" xfId="8" applyNumberFormat="1" applyFont="1" applyFill="1" applyBorder="1" applyAlignment="1">
      <alignment horizontal="center" vertical="center" wrapText="1"/>
    </xf>
    <xf numFmtId="10" fontId="12" fillId="20" borderId="43" xfId="8" applyNumberFormat="1" applyFont="1" applyFill="1" applyBorder="1" applyAlignment="1">
      <alignment horizontal="center" vertical="center" wrapText="1"/>
    </xf>
    <xf numFmtId="10" fontId="12" fillId="20" borderId="44" xfId="8" applyNumberFormat="1" applyFont="1" applyFill="1" applyBorder="1" applyAlignment="1">
      <alignment horizontal="center" vertical="center" wrapText="1"/>
    </xf>
    <xf numFmtId="10" fontId="12" fillId="20" borderId="45" xfId="8" applyNumberFormat="1" applyFont="1" applyFill="1" applyBorder="1" applyAlignment="1">
      <alignment horizontal="center" vertical="center" wrapText="1"/>
    </xf>
  </cellXfs>
  <cellStyles count="9">
    <cellStyle name="Currency" xfId="1" builtinId="4"/>
    <cellStyle name="Currency 2 2" xfId="6" xr:uid="{20DFC5AF-5511-1B4C-8C2A-E9EA84E71A8F}"/>
    <cellStyle name="Normal" xfId="0" builtinId="0"/>
    <cellStyle name="Normal 2" xfId="3" xr:uid="{88E3CBD0-5C55-4F96-B6A7-31BC6D8B27AE}"/>
    <cellStyle name="Normal 2 2" xfId="8" xr:uid="{0306A8AA-187C-214E-8B60-B824846B1650}"/>
    <cellStyle name="Normal 2 3" xfId="5" xr:uid="{D753BDC3-23A5-FC42-A2A6-BB34E58C0607}"/>
    <cellStyle name="Normal 3" xfId="4" xr:uid="{790B68F5-69F6-4A3B-B1B4-C2403C52E400}"/>
    <cellStyle name="Per cent" xfId="2" builtinId="5"/>
    <cellStyle name="Percent 2 2" xfId="7" xr:uid="{5C062EC2-2D7D-3D44-A57E-1AF7199469FC}"/>
  </cellStyles>
  <dxfs count="69"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45F38-427D-480B-BF8D-7621817B66D2}">
  <sheetPr>
    <tabColor theme="7" tint="0.59999389629810485"/>
    <pageSetUpPr fitToPage="1"/>
  </sheetPr>
  <dimension ref="A1:AT88"/>
  <sheetViews>
    <sheetView showGridLines="0" tabSelected="1" view="pageBreakPreview" zoomScale="97" zoomScaleNormal="70" zoomScaleSheetLayoutView="97" workbookViewId="0">
      <pane xSplit="3" topLeftCell="D1" activePane="topRight" state="frozen"/>
      <selection activeCell="B19" sqref="B19"/>
      <selection pane="topRight" activeCell="B2" sqref="B2"/>
    </sheetView>
  </sheetViews>
  <sheetFormatPr baseColWidth="10" defaultColWidth="10.6640625" defaultRowHeight="16" x14ac:dyDescent="0.2"/>
  <cols>
    <col min="1" max="1" width="3" style="7" customWidth="1"/>
    <col min="2" max="2" width="67.1640625" style="130" customWidth="1"/>
    <col min="3" max="3" width="17.1640625" style="131" customWidth="1"/>
    <col min="4" max="27" width="10.6640625" style="132" customWidth="1"/>
    <col min="28" max="28" width="16.1640625" style="133" hidden="1" customWidth="1"/>
    <col min="29" max="29" width="41.1640625" style="134" customWidth="1"/>
    <col min="30" max="30" width="2.5" style="7" customWidth="1"/>
    <col min="31" max="31" width="44.1640625" style="7" customWidth="1"/>
    <col min="32" max="33" width="10.6640625" style="7" customWidth="1"/>
    <col min="34" max="34" width="16.1640625" style="7" customWidth="1"/>
    <col min="35" max="36" width="10.6640625" style="7" customWidth="1"/>
    <col min="37" max="37" width="16.1640625" style="7" customWidth="1"/>
    <col min="38" max="39" width="10.6640625" style="7" customWidth="1"/>
    <col min="40" max="40" width="16.1640625" style="7" customWidth="1"/>
    <col min="41" max="42" width="10.6640625" style="7" customWidth="1"/>
    <col min="43" max="43" width="16.1640625" style="7" customWidth="1"/>
    <col min="44" max="45" width="10.6640625" style="7" customWidth="1"/>
    <col min="46" max="46" width="16.1640625" style="7" customWidth="1"/>
    <col min="47" max="16384" width="10.6640625" style="7"/>
  </cols>
  <sheetData>
    <row r="1" spans="2:46" ht="38" customHeight="1" x14ac:dyDescent="0.2">
      <c r="B1" s="1" t="s">
        <v>147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46"/>
      <c r="AC1" s="4"/>
    </row>
    <row r="2" spans="2:46" s="114" customFormat="1" ht="24" customHeight="1" x14ac:dyDescent="0.2">
      <c r="B2" s="5"/>
      <c r="C2" s="112"/>
      <c r="D2" s="40"/>
      <c r="E2" s="40"/>
      <c r="F2" s="40"/>
      <c r="G2" s="40"/>
      <c r="H2" s="40"/>
      <c r="I2" s="40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47"/>
      <c r="AC2" s="113"/>
    </row>
    <row r="3" spans="2:46" s="115" customFormat="1" ht="36" customHeight="1" x14ac:dyDescent="0.2">
      <c r="B3" s="184" t="s">
        <v>7</v>
      </c>
      <c r="C3" s="185"/>
      <c r="D3" s="181" t="s">
        <v>8</v>
      </c>
      <c r="E3" s="182"/>
      <c r="F3" s="181" t="s">
        <v>9</v>
      </c>
      <c r="G3" s="182"/>
      <c r="H3" s="181" t="s">
        <v>10</v>
      </c>
      <c r="I3" s="182"/>
      <c r="J3" s="181" t="s">
        <v>11</v>
      </c>
      <c r="K3" s="182"/>
      <c r="L3" s="181" t="s">
        <v>12</v>
      </c>
      <c r="M3" s="182"/>
      <c r="N3" s="181" t="s">
        <v>13</v>
      </c>
      <c r="O3" s="182"/>
      <c r="P3" s="181" t="s">
        <v>14</v>
      </c>
      <c r="Q3" s="182"/>
      <c r="R3" s="181" t="s">
        <v>15</v>
      </c>
      <c r="S3" s="182"/>
      <c r="T3" s="181" t="s">
        <v>16</v>
      </c>
      <c r="U3" s="182"/>
      <c r="V3" s="181" t="s">
        <v>17</v>
      </c>
      <c r="W3" s="182"/>
      <c r="X3" s="181" t="s">
        <v>18</v>
      </c>
      <c r="Y3" s="182"/>
      <c r="Z3" s="181" t="s">
        <v>19</v>
      </c>
      <c r="AA3" s="182"/>
      <c r="AB3" s="183"/>
      <c r="AC3" s="206" t="s">
        <v>20</v>
      </c>
      <c r="AF3" s="181" t="s">
        <v>21</v>
      </c>
      <c r="AG3" s="182"/>
      <c r="AH3" s="183"/>
      <c r="AI3" s="181" t="s">
        <v>22</v>
      </c>
      <c r="AJ3" s="182"/>
      <c r="AK3" s="183"/>
      <c r="AL3" s="181" t="s">
        <v>23</v>
      </c>
      <c r="AM3" s="182"/>
      <c r="AN3" s="183"/>
      <c r="AO3" s="181" t="s">
        <v>24</v>
      </c>
      <c r="AP3" s="182"/>
      <c r="AQ3" s="183"/>
      <c r="AR3" s="181" t="s">
        <v>25</v>
      </c>
      <c r="AS3" s="182"/>
      <c r="AT3" s="183"/>
    </row>
    <row r="4" spans="2:46" s="115" customFormat="1" ht="36" customHeight="1" x14ac:dyDescent="0.2">
      <c r="B4" s="184" t="s">
        <v>26</v>
      </c>
      <c r="C4" s="185"/>
      <c r="D4" s="52" t="s">
        <v>27</v>
      </c>
      <c r="E4" s="53" t="s">
        <v>28</v>
      </c>
      <c r="F4" s="52" t="s">
        <v>27</v>
      </c>
      <c r="G4" s="53" t="s">
        <v>28</v>
      </c>
      <c r="H4" s="52" t="s">
        <v>27</v>
      </c>
      <c r="I4" s="53" t="s">
        <v>28</v>
      </c>
      <c r="J4" s="52" t="s">
        <v>27</v>
      </c>
      <c r="K4" s="53" t="s">
        <v>28</v>
      </c>
      <c r="L4" s="52" t="s">
        <v>27</v>
      </c>
      <c r="M4" s="53" t="s">
        <v>28</v>
      </c>
      <c r="N4" s="52" t="s">
        <v>27</v>
      </c>
      <c r="O4" s="53" t="s">
        <v>28</v>
      </c>
      <c r="P4" s="52" t="s">
        <v>27</v>
      </c>
      <c r="Q4" s="53" t="s">
        <v>28</v>
      </c>
      <c r="R4" s="52" t="s">
        <v>27</v>
      </c>
      <c r="S4" s="53" t="s">
        <v>28</v>
      </c>
      <c r="T4" s="52" t="s">
        <v>27</v>
      </c>
      <c r="U4" s="53" t="s">
        <v>28</v>
      </c>
      <c r="V4" s="52" t="s">
        <v>27</v>
      </c>
      <c r="W4" s="53" t="s">
        <v>28</v>
      </c>
      <c r="X4" s="52" t="s">
        <v>27</v>
      </c>
      <c r="Y4" s="53" t="s">
        <v>28</v>
      </c>
      <c r="Z4" s="52" t="s">
        <v>27</v>
      </c>
      <c r="AA4" s="53" t="s">
        <v>28</v>
      </c>
      <c r="AB4" s="51" t="s">
        <v>29</v>
      </c>
      <c r="AC4" s="206"/>
      <c r="AF4" s="52" t="s">
        <v>27</v>
      </c>
      <c r="AG4" s="53" t="s">
        <v>28</v>
      </c>
      <c r="AH4" s="51" t="s">
        <v>29</v>
      </c>
      <c r="AI4" s="52" t="s">
        <v>27</v>
      </c>
      <c r="AJ4" s="53" t="s">
        <v>28</v>
      </c>
      <c r="AK4" s="51" t="s">
        <v>29</v>
      </c>
      <c r="AL4" s="52" t="s">
        <v>27</v>
      </c>
      <c r="AM4" s="53" t="s">
        <v>28</v>
      </c>
      <c r="AN4" s="51" t="s">
        <v>29</v>
      </c>
      <c r="AO4" s="52" t="s">
        <v>27</v>
      </c>
      <c r="AP4" s="53" t="s">
        <v>28</v>
      </c>
      <c r="AQ4" s="51" t="s">
        <v>29</v>
      </c>
      <c r="AR4" s="52" t="s">
        <v>27</v>
      </c>
      <c r="AS4" s="53" t="s">
        <v>28</v>
      </c>
      <c r="AT4" s="51" t="s">
        <v>29</v>
      </c>
    </row>
    <row r="5" spans="2:46" ht="26" customHeight="1" x14ac:dyDescent="0.2">
      <c r="B5" s="116" t="s">
        <v>0</v>
      </c>
      <c r="C5" s="117" t="s">
        <v>30</v>
      </c>
      <c r="D5" s="41">
        <f t="shared" ref="D5:AA5" si="0">SUM(D6:D18)</f>
        <v>34064.199999999997</v>
      </c>
      <c r="E5" s="41">
        <f t="shared" si="0"/>
        <v>0</v>
      </c>
      <c r="F5" s="41">
        <f t="shared" si="0"/>
        <v>48794.2</v>
      </c>
      <c r="G5" s="41">
        <f t="shared" si="0"/>
        <v>0</v>
      </c>
      <c r="H5" s="41">
        <f t="shared" si="0"/>
        <v>80594.2</v>
      </c>
      <c r="I5" s="41">
        <f t="shared" si="0"/>
        <v>0</v>
      </c>
      <c r="J5" s="41">
        <f t="shared" si="0"/>
        <v>35094.199999999997</v>
      </c>
      <c r="K5" s="41">
        <f t="shared" si="0"/>
        <v>0</v>
      </c>
      <c r="L5" s="41">
        <f t="shared" si="0"/>
        <v>35094.199999999997</v>
      </c>
      <c r="M5" s="41">
        <f t="shared" si="0"/>
        <v>0</v>
      </c>
      <c r="N5" s="41">
        <f t="shared" si="0"/>
        <v>35594.199999999997</v>
      </c>
      <c r="O5" s="41">
        <f t="shared" si="0"/>
        <v>0</v>
      </c>
      <c r="P5" s="41">
        <f t="shared" si="0"/>
        <v>35094.199999999997</v>
      </c>
      <c r="Q5" s="41">
        <f t="shared" si="0"/>
        <v>0</v>
      </c>
      <c r="R5" s="41">
        <f t="shared" si="0"/>
        <v>35094.199999999997</v>
      </c>
      <c r="S5" s="41">
        <f t="shared" si="0"/>
        <v>0</v>
      </c>
      <c r="T5" s="41">
        <f t="shared" si="0"/>
        <v>35594.199999999997</v>
      </c>
      <c r="U5" s="41">
        <f t="shared" si="0"/>
        <v>0</v>
      </c>
      <c r="V5" s="41">
        <f t="shared" si="0"/>
        <v>35094.199999999997</v>
      </c>
      <c r="W5" s="41">
        <f t="shared" si="0"/>
        <v>0</v>
      </c>
      <c r="X5" s="41">
        <f t="shared" si="0"/>
        <v>35094.199999999997</v>
      </c>
      <c r="Y5" s="41">
        <f t="shared" si="0"/>
        <v>0</v>
      </c>
      <c r="Z5" s="111">
        <f t="shared" si="0"/>
        <v>35594.199999999997</v>
      </c>
      <c r="AA5" s="111">
        <f t="shared" si="0"/>
        <v>0</v>
      </c>
      <c r="AB5" s="50">
        <f>IFERROR(AA5/Z5,0)</f>
        <v>0</v>
      </c>
      <c r="AC5" s="118"/>
      <c r="AF5" s="41">
        <f>SUM(AF6:AF18)</f>
        <v>163452.6</v>
      </c>
      <c r="AG5" s="41">
        <f>SUM(AG6:AG18)</f>
        <v>0</v>
      </c>
      <c r="AH5" s="50">
        <f>IFERROR(AG5/AF5,0)</f>
        <v>0</v>
      </c>
      <c r="AI5" s="41">
        <f>SUM(AI6:AI18)</f>
        <v>105782.6</v>
      </c>
      <c r="AJ5" s="41">
        <f>SUM(AJ6:AJ18)</f>
        <v>0</v>
      </c>
      <c r="AK5" s="50">
        <f>IFERROR(AJ5/AI5,0)</f>
        <v>0</v>
      </c>
      <c r="AL5" s="41">
        <f>SUM(AL6:AL18)</f>
        <v>105782.6</v>
      </c>
      <c r="AM5" s="41">
        <f>SUM(AM6:AM18)</f>
        <v>0</v>
      </c>
      <c r="AN5" s="50">
        <f>IFERROR(AM5/AL5,0)</f>
        <v>0</v>
      </c>
      <c r="AO5" s="41">
        <f>SUM(AO6:AO18)</f>
        <v>105782.6</v>
      </c>
      <c r="AP5" s="41">
        <f>SUM(AP6:AP18)</f>
        <v>0</v>
      </c>
      <c r="AQ5" s="50">
        <f>IFERROR(AP5/AO5,0)</f>
        <v>0</v>
      </c>
      <c r="AR5" s="41">
        <f>SUM(AR6:AR18)</f>
        <v>480800.4</v>
      </c>
      <c r="AS5" s="41">
        <f>SUM(AS6:AS18)</f>
        <v>0</v>
      </c>
      <c r="AT5" s="50">
        <f>IFERROR(AS5/AR5,0)</f>
        <v>0</v>
      </c>
    </row>
    <row r="6" spans="2:46" ht="22.25" customHeight="1" x14ac:dyDescent="0.2">
      <c r="B6" s="109" t="s">
        <v>31</v>
      </c>
      <c r="C6" s="44"/>
      <c r="D6" s="42">
        <v>27394.2</v>
      </c>
      <c r="E6" s="43"/>
      <c r="F6" s="42">
        <v>27394.2</v>
      </c>
      <c r="G6" s="43"/>
      <c r="H6" s="42">
        <v>27394.2</v>
      </c>
      <c r="I6" s="43"/>
      <c r="J6" s="42">
        <v>27394.2</v>
      </c>
      <c r="K6" s="43"/>
      <c r="L6" s="42">
        <v>27394.2</v>
      </c>
      <c r="M6" s="43"/>
      <c r="N6" s="42">
        <v>27394.2</v>
      </c>
      <c r="O6" s="43"/>
      <c r="P6" s="42">
        <v>27394.2</v>
      </c>
      <c r="Q6" s="43"/>
      <c r="R6" s="42">
        <v>27394.2</v>
      </c>
      <c r="S6" s="43"/>
      <c r="T6" s="42">
        <v>27394.2</v>
      </c>
      <c r="U6" s="43"/>
      <c r="V6" s="42">
        <v>27394.2</v>
      </c>
      <c r="W6" s="43"/>
      <c r="X6" s="42">
        <v>27394.2</v>
      </c>
      <c r="Y6" s="43"/>
      <c r="Z6" s="42">
        <v>27394.2</v>
      </c>
      <c r="AA6" s="43"/>
      <c r="AB6" s="110">
        <f>IFERROR(AA6/Z6,0)</f>
        <v>0</v>
      </c>
      <c r="AC6" s="119"/>
      <c r="AF6" s="42">
        <f t="shared" ref="AF6:AF18" si="1">D6+F6+H6</f>
        <v>82182.600000000006</v>
      </c>
      <c r="AG6" s="120">
        <f t="shared" ref="AG6:AG18" si="2">E6+G6+I6</f>
        <v>0</v>
      </c>
      <c r="AH6" s="49">
        <f>IFERROR(AG6/AF6,0)</f>
        <v>0</v>
      </c>
      <c r="AI6" s="42">
        <f t="shared" ref="AI6:AI18" si="3">J6+L6+N6</f>
        <v>82182.600000000006</v>
      </c>
      <c r="AJ6" s="121">
        <f t="shared" ref="AJ6:AJ18" si="4">K6+M6+O6</f>
        <v>0</v>
      </c>
      <c r="AK6" s="49">
        <f>IFERROR(AJ6/AI6,0)</f>
        <v>0</v>
      </c>
      <c r="AL6" s="42">
        <f t="shared" ref="AL6:AL18" si="5">P6+R6+T6</f>
        <v>82182.600000000006</v>
      </c>
      <c r="AM6" s="121">
        <f t="shared" ref="AM6:AM18" si="6">Q6+S6+U6</f>
        <v>0</v>
      </c>
      <c r="AN6" s="49">
        <f>IFERROR(AM6/AL6,0)</f>
        <v>0</v>
      </c>
      <c r="AO6" s="42">
        <f t="shared" ref="AO6:AO18" si="7">V6+X6+Z6</f>
        <v>82182.600000000006</v>
      </c>
      <c r="AP6" s="43">
        <f t="shared" ref="AP6:AP18" si="8">W6+Y6+AA6</f>
        <v>0</v>
      </c>
      <c r="AQ6" s="49">
        <f>IFERROR(AP6/AO6,0)</f>
        <v>0</v>
      </c>
      <c r="AR6" s="42">
        <f>AF6+AI6+AL6+AO6</f>
        <v>328730.40000000002</v>
      </c>
      <c r="AS6" s="43">
        <f>AG6+AJ6+AM6+AP6</f>
        <v>0</v>
      </c>
      <c r="AT6" s="49">
        <f>IFERROR(AS6/AR6,0)</f>
        <v>0</v>
      </c>
    </row>
    <row r="7" spans="2:46" ht="22.25" customHeight="1" x14ac:dyDescent="0.2">
      <c r="B7" s="109" t="s">
        <v>32</v>
      </c>
      <c r="C7" s="44"/>
      <c r="D7" s="42">
        <v>100</v>
      </c>
      <c r="E7" s="43"/>
      <c r="F7" s="42">
        <v>100</v>
      </c>
      <c r="G7" s="43"/>
      <c r="H7" s="42">
        <v>100</v>
      </c>
      <c r="I7" s="43"/>
      <c r="J7" s="42">
        <v>100</v>
      </c>
      <c r="K7" s="43"/>
      <c r="L7" s="42">
        <v>100</v>
      </c>
      <c r="M7" s="43"/>
      <c r="N7" s="42">
        <v>100</v>
      </c>
      <c r="O7" s="43"/>
      <c r="P7" s="42">
        <v>100</v>
      </c>
      <c r="Q7" s="43"/>
      <c r="R7" s="42">
        <v>100</v>
      </c>
      <c r="S7" s="43"/>
      <c r="T7" s="42">
        <v>100</v>
      </c>
      <c r="U7" s="43"/>
      <c r="V7" s="42">
        <v>100</v>
      </c>
      <c r="W7" s="43"/>
      <c r="X7" s="42">
        <v>100</v>
      </c>
      <c r="Y7" s="43"/>
      <c r="Z7" s="42">
        <v>100</v>
      </c>
      <c r="AA7" s="43"/>
      <c r="AB7" s="110">
        <f t="shared" ref="AB7:AB18" si="9">IFERROR(AA7/Z7,0)</f>
        <v>0</v>
      </c>
      <c r="AC7" s="119"/>
      <c r="AF7" s="42">
        <f t="shared" si="1"/>
        <v>300</v>
      </c>
      <c r="AG7" s="120">
        <f t="shared" si="2"/>
        <v>0</v>
      </c>
      <c r="AH7" s="49">
        <f t="shared" ref="AH7:AH18" si="10">IFERROR(AG7/AF7,0)</f>
        <v>0</v>
      </c>
      <c r="AI7" s="42">
        <f t="shared" si="3"/>
        <v>300</v>
      </c>
      <c r="AJ7" s="121">
        <f t="shared" si="4"/>
        <v>0</v>
      </c>
      <c r="AK7" s="49">
        <f t="shared" ref="AK7:AK18" si="11">IFERROR(AJ7/AI7,0)</f>
        <v>0</v>
      </c>
      <c r="AL7" s="42">
        <f t="shared" si="5"/>
        <v>300</v>
      </c>
      <c r="AM7" s="121">
        <f t="shared" si="6"/>
        <v>0</v>
      </c>
      <c r="AN7" s="49">
        <f t="shared" ref="AN7:AN18" si="12">IFERROR(AM7/AL7,0)</f>
        <v>0</v>
      </c>
      <c r="AO7" s="42">
        <f t="shared" si="7"/>
        <v>300</v>
      </c>
      <c r="AP7" s="43">
        <f t="shared" si="8"/>
        <v>0</v>
      </c>
      <c r="AQ7" s="49">
        <f t="shared" ref="AQ7:AQ18" si="13">IFERROR(AP7/AO7,0)</f>
        <v>0</v>
      </c>
      <c r="AR7" s="42">
        <f t="shared" ref="AR7:AR68" si="14">AF7+AI7+AL7+AO7</f>
        <v>1200</v>
      </c>
      <c r="AS7" s="43">
        <f t="shared" ref="AS7:AS68" si="15">AG7+AJ7+AM7+AP7</f>
        <v>0</v>
      </c>
      <c r="AT7" s="49">
        <f t="shared" ref="AT7:AT18" si="16">IFERROR(AS7/AR7,0)</f>
        <v>0</v>
      </c>
    </row>
    <row r="8" spans="2:46" ht="22.25" customHeight="1" x14ac:dyDescent="0.2">
      <c r="B8" s="109" t="s">
        <v>33</v>
      </c>
      <c r="C8" s="44"/>
      <c r="D8" s="42">
        <v>1500</v>
      </c>
      <c r="E8" s="43"/>
      <c r="F8" s="42">
        <v>1500</v>
      </c>
      <c r="G8" s="43"/>
      <c r="H8" s="42">
        <v>1500</v>
      </c>
      <c r="I8" s="43"/>
      <c r="J8" s="42">
        <v>1500</v>
      </c>
      <c r="K8" s="43"/>
      <c r="L8" s="42">
        <v>1500</v>
      </c>
      <c r="M8" s="43"/>
      <c r="N8" s="42">
        <v>1500</v>
      </c>
      <c r="O8" s="43"/>
      <c r="P8" s="42">
        <v>1500</v>
      </c>
      <c r="Q8" s="43"/>
      <c r="R8" s="42">
        <v>1500</v>
      </c>
      <c r="S8" s="43"/>
      <c r="T8" s="42">
        <v>1500</v>
      </c>
      <c r="U8" s="43"/>
      <c r="V8" s="42">
        <v>1500</v>
      </c>
      <c r="W8" s="43"/>
      <c r="X8" s="42">
        <v>1500</v>
      </c>
      <c r="Y8" s="43"/>
      <c r="Z8" s="42">
        <v>1500</v>
      </c>
      <c r="AA8" s="43"/>
      <c r="AB8" s="110">
        <f t="shared" si="9"/>
        <v>0</v>
      </c>
      <c r="AC8" s="119"/>
      <c r="AF8" s="42">
        <f t="shared" si="1"/>
        <v>4500</v>
      </c>
      <c r="AG8" s="120">
        <f t="shared" si="2"/>
        <v>0</v>
      </c>
      <c r="AH8" s="49">
        <f t="shared" si="10"/>
        <v>0</v>
      </c>
      <c r="AI8" s="42">
        <f t="shared" si="3"/>
        <v>4500</v>
      </c>
      <c r="AJ8" s="121">
        <f t="shared" si="4"/>
        <v>0</v>
      </c>
      <c r="AK8" s="49">
        <f t="shared" si="11"/>
        <v>0</v>
      </c>
      <c r="AL8" s="42">
        <f t="shared" si="5"/>
        <v>4500</v>
      </c>
      <c r="AM8" s="121">
        <f t="shared" si="6"/>
        <v>0</v>
      </c>
      <c r="AN8" s="49">
        <f t="shared" si="12"/>
        <v>0</v>
      </c>
      <c r="AO8" s="42">
        <f t="shared" si="7"/>
        <v>4500</v>
      </c>
      <c r="AP8" s="43">
        <f t="shared" si="8"/>
        <v>0</v>
      </c>
      <c r="AQ8" s="49">
        <f t="shared" si="13"/>
        <v>0</v>
      </c>
      <c r="AR8" s="42">
        <f t="shared" si="14"/>
        <v>18000</v>
      </c>
      <c r="AS8" s="43">
        <f t="shared" si="15"/>
        <v>0</v>
      </c>
      <c r="AT8" s="49">
        <f t="shared" si="16"/>
        <v>0</v>
      </c>
    </row>
    <row r="9" spans="2:46" ht="22.25" customHeight="1" x14ac:dyDescent="0.2">
      <c r="B9" s="109" t="s">
        <v>34</v>
      </c>
      <c r="C9" s="44"/>
      <c r="D9" s="42">
        <v>0</v>
      </c>
      <c r="E9" s="43"/>
      <c r="F9" s="42">
        <v>0</v>
      </c>
      <c r="G9" s="43"/>
      <c r="H9" s="42">
        <v>0</v>
      </c>
      <c r="I9" s="43"/>
      <c r="J9" s="42">
        <v>0</v>
      </c>
      <c r="K9" s="43"/>
      <c r="L9" s="42">
        <v>0</v>
      </c>
      <c r="M9" s="43"/>
      <c r="N9" s="42">
        <v>0</v>
      </c>
      <c r="O9" s="43"/>
      <c r="P9" s="42">
        <v>0</v>
      </c>
      <c r="Q9" s="43"/>
      <c r="R9" s="42">
        <v>0</v>
      </c>
      <c r="S9" s="43"/>
      <c r="T9" s="42">
        <v>0</v>
      </c>
      <c r="U9" s="43"/>
      <c r="V9" s="42">
        <v>0</v>
      </c>
      <c r="W9" s="43"/>
      <c r="X9" s="42">
        <v>0</v>
      </c>
      <c r="Y9" s="43"/>
      <c r="Z9" s="42">
        <v>0</v>
      </c>
      <c r="AA9" s="43"/>
      <c r="AB9" s="110">
        <f t="shared" si="9"/>
        <v>0</v>
      </c>
      <c r="AC9" s="119"/>
      <c r="AF9" s="42">
        <f t="shared" si="1"/>
        <v>0</v>
      </c>
      <c r="AG9" s="120">
        <f t="shared" si="2"/>
        <v>0</v>
      </c>
      <c r="AH9" s="49">
        <f t="shared" si="10"/>
        <v>0</v>
      </c>
      <c r="AI9" s="42">
        <f t="shared" si="3"/>
        <v>0</v>
      </c>
      <c r="AJ9" s="121">
        <f t="shared" si="4"/>
        <v>0</v>
      </c>
      <c r="AK9" s="49">
        <f t="shared" si="11"/>
        <v>0</v>
      </c>
      <c r="AL9" s="42">
        <f t="shared" si="5"/>
        <v>0</v>
      </c>
      <c r="AM9" s="121">
        <f t="shared" si="6"/>
        <v>0</v>
      </c>
      <c r="AN9" s="49">
        <f t="shared" si="12"/>
        <v>0</v>
      </c>
      <c r="AO9" s="42">
        <f t="shared" si="7"/>
        <v>0</v>
      </c>
      <c r="AP9" s="43">
        <f t="shared" si="8"/>
        <v>0</v>
      </c>
      <c r="AQ9" s="49">
        <f t="shared" si="13"/>
        <v>0</v>
      </c>
      <c r="AR9" s="42">
        <f t="shared" si="14"/>
        <v>0</v>
      </c>
      <c r="AS9" s="43">
        <f t="shared" si="15"/>
        <v>0</v>
      </c>
      <c r="AT9" s="49">
        <f t="shared" si="16"/>
        <v>0</v>
      </c>
    </row>
    <row r="10" spans="2:46" ht="22.25" customHeight="1" x14ac:dyDescent="0.2">
      <c r="B10" s="109" t="s">
        <v>35</v>
      </c>
      <c r="C10" s="44"/>
      <c r="D10" s="42">
        <v>1000</v>
      </c>
      <c r="E10" s="43"/>
      <c r="F10" s="42">
        <v>1000</v>
      </c>
      <c r="G10" s="43"/>
      <c r="H10" s="42">
        <v>1000</v>
      </c>
      <c r="I10" s="43"/>
      <c r="J10" s="42">
        <v>1000</v>
      </c>
      <c r="K10" s="43"/>
      <c r="L10" s="42">
        <v>1000</v>
      </c>
      <c r="M10" s="43"/>
      <c r="N10" s="42">
        <v>1000</v>
      </c>
      <c r="O10" s="43"/>
      <c r="P10" s="42">
        <v>1000</v>
      </c>
      <c r="Q10" s="43"/>
      <c r="R10" s="42">
        <v>1000</v>
      </c>
      <c r="S10" s="43"/>
      <c r="T10" s="42">
        <v>1000</v>
      </c>
      <c r="U10" s="43"/>
      <c r="V10" s="42">
        <v>1000</v>
      </c>
      <c r="W10" s="43"/>
      <c r="X10" s="42">
        <v>1000</v>
      </c>
      <c r="Y10" s="43"/>
      <c r="Z10" s="42">
        <v>1000</v>
      </c>
      <c r="AA10" s="43"/>
      <c r="AB10" s="110">
        <f t="shared" si="9"/>
        <v>0</v>
      </c>
      <c r="AC10" s="119"/>
      <c r="AF10" s="42">
        <f t="shared" si="1"/>
        <v>3000</v>
      </c>
      <c r="AG10" s="120">
        <f t="shared" si="2"/>
        <v>0</v>
      </c>
      <c r="AH10" s="49">
        <f t="shared" si="10"/>
        <v>0</v>
      </c>
      <c r="AI10" s="42">
        <f t="shared" si="3"/>
        <v>3000</v>
      </c>
      <c r="AJ10" s="121">
        <f t="shared" si="4"/>
        <v>0</v>
      </c>
      <c r="AK10" s="49">
        <f t="shared" si="11"/>
        <v>0</v>
      </c>
      <c r="AL10" s="42">
        <f t="shared" si="5"/>
        <v>3000</v>
      </c>
      <c r="AM10" s="121">
        <f t="shared" si="6"/>
        <v>0</v>
      </c>
      <c r="AN10" s="49">
        <f t="shared" si="12"/>
        <v>0</v>
      </c>
      <c r="AO10" s="42">
        <f t="shared" si="7"/>
        <v>3000</v>
      </c>
      <c r="AP10" s="43">
        <f t="shared" si="8"/>
        <v>0</v>
      </c>
      <c r="AQ10" s="49">
        <f t="shared" si="13"/>
        <v>0</v>
      </c>
      <c r="AR10" s="42">
        <f t="shared" si="14"/>
        <v>12000</v>
      </c>
      <c r="AS10" s="43">
        <f t="shared" si="15"/>
        <v>0</v>
      </c>
      <c r="AT10" s="49">
        <f t="shared" si="16"/>
        <v>0</v>
      </c>
    </row>
    <row r="11" spans="2:46" ht="22.25" customHeight="1" x14ac:dyDescent="0.2">
      <c r="B11" s="109" t="s">
        <v>36</v>
      </c>
      <c r="C11" s="44"/>
      <c r="D11" s="42">
        <v>400</v>
      </c>
      <c r="E11" s="43"/>
      <c r="F11" s="42">
        <v>350</v>
      </c>
      <c r="G11" s="43"/>
      <c r="H11" s="42">
        <v>350</v>
      </c>
      <c r="I11" s="43"/>
      <c r="J11" s="42">
        <v>350</v>
      </c>
      <c r="K11" s="43"/>
      <c r="L11" s="42">
        <v>350</v>
      </c>
      <c r="M11" s="43"/>
      <c r="N11" s="42">
        <v>350</v>
      </c>
      <c r="O11" s="43"/>
      <c r="P11" s="42">
        <v>350</v>
      </c>
      <c r="Q11" s="43"/>
      <c r="R11" s="42">
        <v>350</v>
      </c>
      <c r="S11" s="43"/>
      <c r="T11" s="42">
        <v>350</v>
      </c>
      <c r="U11" s="43"/>
      <c r="V11" s="42">
        <v>350</v>
      </c>
      <c r="W11" s="43"/>
      <c r="X11" s="42">
        <v>350</v>
      </c>
      <c r="Y11" s="43"/>
      <c r="Z11" s="42">
        <v>350</v>
      </c>
      <c r="AA11" s="43"/>
      <c r="AB11" s="110">
        <f t="shared" si="9"/>
        <v>0</v>
      </c>
      <c r="AC11" s="119"/>
      <c r="AF11" s="42">
        <f t="shared" si="1"/>
        <v>1100</v>
      </c>
      <c r="AG11" s="120">
        <f t="shared" si="2"/>
        <v>0</v>
      </c>
      <c r="AH11" s="49">
        <f t="shared" si="10"/>
        <v>0</v>
      </c>
      <c r="AI11" s="42">
        <f t="shared" si="3"/>
        <v>1050</v>
      </c>
      <c r="AJ11" s="121">
        <f t="shared" si="4"/>
        <v>0</v>
      </c>
      <c r="AK11" s="49">
        <f t="shared" si="11"/>
        <v>0</v>
      </c>
      <c r="AL11" s="42">
        <f t="shared" si="5"/>
        <v>1050</v>
      </c>
      <c r="AM11" s="121">
        <f t="shared" si="6"/>
        <v>0</v>
      </c>
      <c r="AN11" s="49">
        <f t="shared" si="12"/>
        <v>0</v>
      </c>
      <c r="AO11" s="42">
        <f t="shared" si="7"/>
        <v>1050</v>
      </c>
      <c r="AP11" s="43">
        <f t="shared" si="8"/>
        <v>0</v>
      </c>
      <c r="AQ11" s="49">
        <f t="shared" si="13"/>
        <v>0</v>
      </c>
      <c r="AR11" s="42">
        <f t="shared" si="14"/>
        <v>4250</v>
      </c>
      <c r="AS11" s="43">
        <f t="shared" si="15"/>
        <v>0</v>
      </c>
      <c r="AT11" s="49">
        <f t="shared" si="16"/>
        <v>0</v>
      </c>
    </row>
    <row r="12" spans="2:46" ht="22.25" customHeight="1" x14ac:dyDescent="0.2">
      <c r="B12" s="109" t="s">
        <v>37</v>
      </c>
      <c r="C12" s="44"/>
      <c r="D12" s="42">
        <v>0</v>
      </c>
      <c r="E12" s="43"/>
      <c r="F12" s="42">
        <v>0</v>
      </c>
      <c r="G12" s="43"/>
      <c r="H12" s="42">
        <v>500</v>
      </c>
      <c r="I12" s="43"/>
      <c r="J12" s="42">
        <v>0</v>
      </c>
      <c r="K12" s="43"/>
      <c r="L12" s="42">
        <v>0</v>
      </c>
      <c r="M12" s="43"/>
      <c r="N12" s="42">
        <v>500</v>
      </c>
      <c r="O12" s="43"/>
      <c r="P12" s="42">
        <v>0</v>
      </c>
      <c r="Q12" s="43"/>
      <c r="R12" s="42">
        <v>0</v>
      </c>
      <c r="S12" s="43"/>
      <c r="T12" s="42">
        <v>500</v>
      </c>
      <c r="U12" s="43"/>
      <c r="V12" s="42">
        <v>0</v>
      </c>
      <c r="W12" s="43"/>
      <c r="X12" s="42">
        <v>0</v>
      </c>
      <c r="Y12" s="43"/>
      <c r="Z12" s="42">
        <v>500</v>
      </c>
      <c r="AA12" s="43"/>
      <c r="AB12" s="110">
        <f t="shared" si="9"/>
        <v>0</v>
      </c>
      <c r="AC12" s="119"/>
      <c r="AF12" s="42">
        <f t="shared" si="1"/>
        <v>500</v>
      </c>
      <c r="AG12" s="120">
        <f t="shared" si="2"/>
        <v>0</v>
      </c>
      <c r="AH12" s="49">
        <f t="shared" si="10"/>
        <v>0</v>
      </c>
      <c r="AI12" s="42">
        <f t="shared" si="3"/>
        <v>500</v>
      </c>
      <c r="AJ12" s="121">
        <f t="shared" si="4"/>
        <v>0</v>
      </c>
      <c r="AK12" s="49">
        <f t="shared" si="11"/>
        <v>0</v>
      </c>
      <c r="AL12" s="42">
        <f t="shared" si="5"/>
        <v>500</v>
      </c>
      <c r="AM12" s="121">
        <f t="shared" si="6"/>
        <v>0</v>
      </c>
      <c r="AN12" s="49">
        <f t="shared" si="12"/>
        <v>0</v>
      </c>
      <c r="AO12" s="42">
        <f t="shared" si="7"/>
        <v>500</v>
      </c>
      <c r="AP12" s="43">
        <f t="shared" si="8"/>
        <v>0</v>
      </c>
      <c r="AQ12" s="49">
        <f t="shared" si="13"/>
        <v>0</v>
      </c>
      <c r="AR12" s="42">
        <f>AF12+AI12+AL12+AO12</f>
        <v>2000</v>
      </c>
      <c r="AS12" s="43">
        <f>AG12+AJ12+AM12+AP12</f>
        <v>0</v>
      </c>
      <c r="AT12" s="49">
        <f t="shared" si="16"/>
        <v>0</v>
      </c>
    </row>
    <row r="13" spans="2:46" ht="22.25" customHeight="1" x14ac:dyDescent="0.2">
      <c r="B13" s="109" t="s">
        <v>38</v>
      </c>
      <c r="C13" s="44"/>
      <c r="D13" s="42">
        <v>0</v>
      </c>
      <c r="E13" s="43"/>
      <c r="F13" s="42">
        <v>3500</v>
      </c>
      <c r="G13" s="43"/>
      <c r="H13" s="42">
        <v>0</v>
      </c>
      <c r="I13" s="43"/>
      <c r="J13" s="42">
        <v>0</v>
      </c>
      <c r="K13" s="43"/>
      <c r="L13" s="42">
        <v>0</v>
      </c>
      <c r="M13" s="43"/>
      <c r="N13" s="42">
        <v>0</v>
      </c>
      <c r="O13" s="43"/>
      <c r="P13" s="42">
        <v>0</v>
      </c>
      <c r="Q13" s="43"/>
      <c r="R13" s="42">
        <v>0</v>
      </c>
      <c r="S13" s="43"/>
      <c r="T13" s="42">
        <v>0</v>
      </c>
      <c r="U13" s="43"/>
      <c r="V13" s="42">
        <v>0</v>
      </c>
      <c r="W13" s="43"/>
      <c r="X13" s="42">
        <v>0</v>
      </c>
      <c r="Y13" s="43"/>
      <c r="Z13" s="42">
        <v>0</v>
      </c>
      <c r="AA13" s="43"/>
      <c r="AB13" s="110">
        <f t="shared" si="9"/>
        <v>0</v>
      </c>
      <c r="AC13" s="119"/>
      <c r="AF13" s="42">
        <f t="shared" si="1"/>
        <v>3500</v>
      </c>
      <c r="AG13" s="120">
        <f t="shared" si="2"/>
        <v>0</v>
      </c>
      <c r="AH13" s="49">
        <f t="shared" si="10"/>
        <v>0</v>
      </c>
      <c r="AI13" s="42">
        <f t="shared" si="3"/>
        <v>0</v>
      </c>
      <c r="AJ13" s="121">
        <f t="shared" si="4"/>
        <v>0</v>
      </c>
      <c r="AK13" s="49">
        <f t="shared" si="11"/>
        <v>0</v>
      </c>
      <c r="AL13" s="42">
        <f t="shared" si="5"/>
        <v>0</v>
      </c>
      <c r="AM13" s="121">
        <f t="shared" si="6"/>
        <v>0</v>
      </c>
      <c r="AN13" s="49">
        <f t="shared" si="12"/>
        <v>0</v>
      </c>
      <c r="AO13" s="42">
        <f t="shared" si="7"/>
        <v>0</v>
      </c>
      <c r="AP13" s="43">
        <f t="shared" si="8"/>
        <v>0</v>
      </c>
      <c r="AQ13" s="49">
        <f t="shared" si="13"/>
        <v>0</v>
      </c>
      <c r="AR13" s="42">
        <f t="shared" si="14"/>
        <v>3500</v>
      </c>
      <c r="AS13" s="43">
        <f t="shared" si="15"/>
        <v>0</v>
      </c>
      <c r="AT13" s="49">
        <f t="shared" si="16"/>
        <v>0</v>
      </c>
    </row>
    <row r="14" spans="2:46" ht="22.25" customHeight="1" x14ac:dyDescent="0.2">
      <c r="B14" s="109" t="s">
        <v>39</v>
      </c>
      <c r="C14" s="44"/>
      <c r="D14" s="135">
        <v>1500</v>
      </c>
      <c r="E14" s="43"/>
      <c r="F14" s="135">
        <v>1500</v>
      </c>
      <c r="G14" s="43"/>
      <c r="H14" s="42">
        <v>1500</v>
      </c>
      <c r="I14" s="43"/>
      <c r="J14" s="42">
        <v>1500</v>
      </c>
      <c r="K14" s="43"/>
      <c r="L14" s="42">
        <v>1500</v>
      </c>
      <c r="M14" s="43"/>
      <c r="N14" s="42">
        <v>1500</v>
      </c>
      <c r="O14" s="43"/>
      <c r="P14" s="42">
        <v>1500</v>
      </c>
      <c r="Q14" s="43"/>
      <c r="R14" s="42">
        <v>1500</v>
      </c>
      <c r="S14" s="43"/>
      <c r="T14" s="42">
        <v>1500</v>
      </c>
      <c r="U14" s="43"/>
      <c r="V14" s="42">
        <v>1500</v>
      </c>
      <c r="W14" s="43"/>
      <c r="X14" s="42">
        <v>1500</v>
      </c>
      <c r="Y14" s="43"/>
      <c r="Z14" s="42">
        <v>1500</v>
      </c>
      <c r="AA14" s="43"/>
      <c r="AB14" s="110">
        <f t="shared" si="9"/>
        <v>0</v>
      </c>
      <c r="AC14" s="119"/>
      <c r="AF14" s="42">
        <f t="shared" si="1"/>
        <v>4500</v>
      </c>
      <c r="AG14" s="120">
        <f t="shared" si="2"/>
        <v>0</v>
      </c>
      <c r="AH14" s="49">
        <f t="shared" si="10"/>
        <v>0</v>
      </c>
      <c r="AI14" s="42">
        <f t="shared" si="3"/>
        <v>4500</v>
      </c>
      <c r="AJ14" s="121">
        <f t="shared" si="4"/>
        <v>0</v>
      </c>
      <c r="AK14" s="49">
        <f t="shared" si="11"/>
        <v>0</v>
      </c>
      <c r="AL14" s="42">
        <f t="shared" si="5"/>
        <v>4500</v>
      </c>
      <c r="AM14" s="121">
        <f t="shared" si="6"/>
        <v>0</v>
      </c>
      <c r="AN14" s="49">
        <f t="shared" si="12"/>
        <v>0</v>
      </c>
      <c r="AO14" s="42">
        <f t="shared" si="7"/>
        <v>4500</v>
      </c>
      <c r="AP14" s="43">
        <f t="shared" si="8"/>
        <v>0</v>
      </c>
      <c r="AQ14" s="49">
        <f t="shared" si="13"/>
        <v>0</v>
      </c>
      <c r="AR14" s="42">
        <f t="shared" si="14"/>
        <v>18000</v>
      </c>
      <c r="AS14" s="43">
        <f t="shared" si="15"/>
        <v>0</v>
      </c>
      <c r="AT14" s="49">
        <f t="shared" si="16"/>
        <v>0</v>
      </c>
    </row>
    <row r="15" spans="2:46" ht="28" customHeight="1" x14ac:dyDescent="0.2">
      <c r="B15" s="109" t="s">
        <v>40</v>
      </c>
      <c r="C15" s="44"/>
      <c r="D15" s="42">
        <v>0</v>
      </c>
      <c r="E15" s="43"/>
      <c r="F15" s="42">
        <v>10000</v>
      </c>
      <c r="G15" s="43"/>
      <c r="H15" s="42">
        <v>45000</v>
      </c>
      <c r="I15" s="43"/>
      <c r="J15" s="42">
        <v>0</v>
      </c>
      <c r="K15" s="43"/>
      <c r="L15" s="42">
        <v>0</v>
      </c>
      <c r="M15" s="43"/>
      <c r="N15" s="42">
        <v>0</v>
      </c>
      <c r="O15" s="43"/>
      <c r="P15" s="42">
        <v>0</v>
      </c>
      <c r="Q15" s="43"/>
      <c r="R15" s="42">
        <v>0</v>
      </c>
      <c r="S15" s="43"/>
      <c r="T15" s="42">
        <v>0</v>
      </c>
      <c r="U15" s="43"/>
      <c r="V15" s="42">
        <v>0</v>
      </c>
      <c r="W15" s="43"/>
      <c r="X15" s="42">
        <v>0</v>
      </c>
      <c r="Y15" s="43"/>
      <c r="Z15" s="42">
        <v>0</v>
      </c>
      <c r="AA15" s="43"/>
      <c r="AB15" s="110">
        <f t="shared" si="9"/>
        <v>0</v>
      </c>
      <c r="AC15" s="119" t="s">
        <v>121</v>
      </c>
      <c r="AF15" s="42">
        <f t="shared" si="1"/>
        <v>55000</v>
      </c>
      <c r="AG15" s="120">
        <f t="shared" si="2"/>
        <v>0</v>
      </c>
      <c r="AH15" s="49">
        <f t="shared" si="10"/>
        <v>0</v>
      </c>
      <c r="AI15" s="42">
        <f t="shared" si="3"/>
        <v>0</v>
      </c>
      <c r="AJ15" s="121">
        <f t="shared" si="4"/>
        <v>0</v>
      </c>
      <c r="AK15" s="49">
        <f t="shared" si="11"/>
        <v>0</v>
      </c>
      <c r="AL15" s="42">
        <f t="shared" si="5"/>
        <v>0</v>
      </c>
      <c r="AM15" s="121">
        <f t="shared" si="6"/>
        <v>0</v>
      </c>
      <c r="AN15" s="49">
        <f t="shared" si="12"/>
        <v>0</v>
      </c>
      <c r="AO15" s="42">
        <f t="shared" si="7"/>
        <v>0</v>
      </c>
      <c r="AP15" s="43">
        <f t="shared" si="8"/>
        <v>0</v>
      </c>
      <c r="AQ15" s="49">
        <f t="shared" si="13"/>
        <v>0</v>
      </c>
      <c r="AR15" s="42">
        <f t="shared" si="14"/>
        <v>55000</v>
      </c>
      <c r="AS15" s="43">
        <f t="shared" si="15"/>
        <v>0</v>
      </c>
      <c r="AT15" s="49">
        <f t="shared" si="16"/>
        <v>0</v>
      </c>
    </row>
    <row r="16" spans="2:46" ht="22" customHeight="1" x14ac:dyDescent="0.2">
      <c r="B16" s="109" t="s">
        <v>41</v>
      </c>
      <c r="C16" s="44"/>
      <c r="D16" s="42">
        <v>500</v>
      </c>
      <c r="E16" s="43"/>
      <c r="F16" s="42">
        <v>500</v>
      </c>
      <c r="G16" s="43"/>
      <c r="H16" s="42">
        <v>500</v>
      </c>
      <c r="I16" s="43"/>
      <c r="J16" s="42">
        <v>500</v>
      </c>
      <c r="K16" s="43"/>
      <c r="L16" s="42">
        <v>500</v>
      </c>
      <c r="M16" s="43"/>
      <c r="N16" s="42">
        <v>500</v>
      </c>
      <c r="O16" s="43"/>
      <c r="P16" s="42">
        <v>500</v>
      </c>
      <c r="Q16" s="43"/>
      <c r="R16" s="42">
        <v>500</v>
      </c>
      <c r="S16" s="43"/>
      <c r="T16" s="42">
        <v>500</v>
      </c>
      <c r="U16" s="43"/>
      <c r="V16" s="42">
        <v>500</v>
      </c>
      <c r="W16" s="43"/>
      <c r="X16" s="42">
        <v>500</v>
      </c>
      <c r="Y16" s="43"/>
      <c r="Z16" s="42">
        <v>500</v>
      </c>
      <c r="AA16" s="43"/>
      <c r="AB16" s="110">
        <f t="shared" si="9"/>
        <v>0</v>
      </c>
      <c r="AC16" s="119"/>
      <c r="AF16" s="42">
        <f t="shared" si="1"/>
        <v>1500</v>
      </c>
      <c r="AG16" s="120">
        <f t="shared" si="2"/>
        <v>0</v>
      </c>
      <c r="AH16" s="49">
        <f t="shared" si="10"/>
        <v>0</v>
      </c>
      <c r="AI16" s="42">
        <f t="shared" si="3"/>
        <v>1500</v>
      </c>
      <c r="AJ16" s="121">
        <f t="shared" si="4"/>
        <v>0</v>
      </c>
      <c r="AK16" s="49">
        <f t="shared" si="11"/>
        <v>0</v>
      </c>
      <c r="AL16" s="42">
        <f t="shared" si="5"/>
        <v>1500</v>
      </c>
      <c r="AM16" s="121">
        <f t="shared" si="6"/>
        <v>0</v>
      </c>
      <c r="AN16" s="49">
        <f t="shared" si="12"/>
        <v>0</v>
      </c>
      <c r="AO16" s="42">
        <f t="shared" si="7"/>
        <v>1500</v>
      </c>
      <c r="AP16" s="43">
        <f t="shared" si="8"/>
        <v>0</v>
      </c>
      <c r="AQ16" s="49">
        <f t="shared" si="13"/>
        <v>0</v>
      </c>
      <c r="AR16" s="42">
        <f t="shared" si="14"/>
        <v>6000</v>
      </c>
      <c r="AS16" s="43">
        <f t="shared" si="15"/>
        <v>0</v>
      </c>
      <c r="AT16" s="49">
        <f t="shared" si="16"/>
        <v>0</v>
      </c>
    </row>
    <row r="17" spans="2:46" ht="22.25" customHeight="1" x14ac:dyDescent="0.2">
      <c r="B17" s="109" t="s">
        <v>42</v>
      </c>
      <c r="C17" s="44"/>
      <c r="D17" s="42">
        <v>1670</v>
      </c>
      <c r="E17" s="43"/>
      <c r="F17" s="42">
        <v>1700</v>
      </c>
      <c r="G17" s="43"/>
      <c r="H17" s="42">
        <v>2750</v>
      </c>
      <c r="I17" s="43"/>
      <c r="J17" s="42">
        <v>2750</v>
      </c>
      <c r="K17" s="43"/>
      <c r="L17" s="42">
        <v>2750</v>
      </c>
      <c r="M17" s="43"/>
      <c r="N17" s="42">
        <v>2750</v>
      </c>
      <c r="O17" s="43"/>
      <c r="P17" s="42">
        <v>2750</v>
      </c>
      <c r="Q17" s="43"/>
      <c r="R17" s="42">
        <v>2750</v>
      </c>
      <c r="S17" s="43"/>
      <c r="T17" s="42">
        <v>2750</v>
      </c>
      <c r="U17" s="43"/>
      <c r="V17" s="42">
        <v>2750</v>
      </c>
      <c r="W17" s="43"/>
      <c r="X17" s="42">
        <v>2750</v>
      </c>
      <c r="Y17" s="43"/>
      <c r="Z17" s="42">
        <v>2750</v>
      </c>
      <c r="AA17" s="43"/>
      <c r="AB17" s="110">
        <f t="shared" si="9"/>
        <v>0</v>
      </c>
      <c r="AC17" s="119"/>
      <c r="AF17" s="42">
        <f t="shared" si="1"/>
        <v>6120</v>
      </c>
      <c r="AG17" s="120">
        <f t="shared" si="2"/>
        <v>0</v>
      </c>
      <c r="AH17" s="49">
        <f t="shared" si="10"/>
        <v>0</v>
      </c>
      <c r="AI17" s="42">
        <f t="shared" si="3"/>
        <v>8250</v>
      </c>
      <c r="AJ17" s="121">
        <f t="shared" si="4"/>
        <v>0</v>
      </c>
      <c r="AK17" s="49">
        <f t="shared" si="11"/>
        <v>0</v>
      </c>
      <c r="AL17" s="42">
        <f t="shared" si="5"/>
        <v>8250</v>
      </c>
      <c r="AM17" s="121">
        <f t="shared" si="6"/>
        <v>0</v>
      </c>
      <c r="AN17" s="49">
        <f t="shared" si="12"/>
        <v>0</v>
      </c>
      <c r="AO17" s="42">
        <f t="shared" si="7"/>
        <v>8250</v>
      </c>
      <c r="AP17" s="43">
        <f t="shared" si="8"/>
        <v>0</v>
      </c>
      <c r="AQ17" s="49">
        <f t="shared" si="13"/>
        <v>0</v>
      </c>
      <c r="AR17" s="42">
        <f t="shared" si="14"/>
        <v>30870</v>
      </c>
      <c r="AS17" s="43">
        <f t="shared" si="15"/>
        <v>0</v>
      </c>
      <c r="AT17" s="49">
        <f t="shared" si="16"/>
        <v>0</v>
      </c>
    </row>
    <row r="18" spans="2:46" ht="22.25" customHeight="1" x14ac:dyDescent="0.2">
      <c r="B18" s="109" t="s">
        <v>43</v>
      </c>
      <c r="C18" s="44"/>
      <c r="D18" s="42">
        <v>0</v>
      </c>
      <c r="E18" s="43"/>
      <c r="F18" s="42">
        <v>1250</v>
      </c>
      <c r="G18" s="43"/>
      <c r="H18" s="42">
        <v>0</v>
      </c>
      <c r="I18" s="43"/>
      <c r="J18" s="42">
        <v>0</v>
      </c>
      <c r="K18" s="43"/>
      <c r="L18" s="42">
        <v>0</v>
      </c>
      <c r="M18" s="43"/>
      <c r="N18" s="42">
        <v>0</v>
      </c>
      <c r="O18" s="43"/>
      <c r="P18" s="42">
        <v>0</v>
      </c>
      <c r="Q18" s="43"/>
      <c r="R18" s="42">
        <v>0</v>
      </c>
      <c r="S18" s="43"/>
      <c r="T18" s="42">
        <v>0</v>
      </c>
      <c r="U18" s="43"/>
      <c r="V18" s="42">
        <v>0</v>
      </c>
      <c r="W18" s="43"/>
      <c r="X18" s="42">
        <v>0</v>
      </c>
      <c r="Y18" s="43"/>
      <c r="Z18" s="42">
        <v>0</v>
      </c>
      <c r="AA18" s="43"/>
      <c r="AB18" s="110">
        <f t="shared" si="9"/>
        <v>0</v>
      </c>
      <c r="AC18" s="119"/>
      <c r="AF18" s="42">
        <f t="shared" si="1"/>
        <v>1250</v>
      </c>
      <c r="AG18" s="120">
        <f t="shared" si="2"/>
        <v>0</v>
      </c>
      <c r="AH18" s="49">
        <f t="shared" si="10"/>
        <v>0</v>
      </c>
      <c r="AI18" s="42">
        <f t="shared" si="3"/>
        <v>0</v>
      </c>
      <c r="AJ18" s="121">
        <f t="shared" si="4"/>
        <v>0</v>
      </c>
      <c r="AK18" s="49">
        <f t="shared" si="11"/>
        <v>0</v>
      </c>
      <c r="AL18" s="42">
        <f t="shared" si="5"/>
        <v>0</v>
      </c>
      <c r="AM18" s="121">
        <f t="shared" si="6"/>
        <v>0</v>
      </c>
      <c r="AN18" s="49">
        <f t="shared" si="12"/>
        <v>0</v>
      </c>
      <c r="AO18" s="42">
        <f t="shared" si="7"/>
        <v>0</v>
      </c>
      <c r="AP18" s="43">
        <f t="shared" si="8"/>
        <v>0</v>
      </c>
      <c r="AQ18" s="49">
        <f t="shared" si="13"/>
        <v>0</v>
      </c>
      <c r="AR18" s="42">
        <f t="shared" si="14"/>
        <v>1250</v>
      </c>
      <c r="AS18" s="43">
        <f t="shared" si="15"/>
        <v>0</v>
      </c>
      <c r="AT18" s="49">
        <f t="shared" si="16"/>
        <v>0</v>
      </c>
    </row>
    <row r="19" spans="2:46" ht="22.25" customHeight="1" x14ac:dyDescent="0.2">
      <c r="B19" s="45"/>
      <c r="C19" s="44"/>
      <c r="D19" s="42"/>
      <c r="E19" s="43"/>
      <c r="F19" s="42"/>
      <c r="G19" s="43"/>
      <c r="H19" s="42"/>
      <c r="I19" s="43"/>
      <c r="J19" s="42"/>
      <c r="K19" s="43"/>
      <c r="L19" s="42"/>
      <c r="M19" s="43"/>
      <c r="N19" s="42"/>
      <c r="O19" s="43"/>
      <c r="P19" s="42"/>
      <c r="Q19" s="43"/>
      <c r="R19" s="42"/>
      <c r="S19" s="43"/>
      <c r="T19" s="42"/>
      <c r="U19" s="43"/>
      <c r="V19" s="42"/>
      <c r="W19" s="43"/>
      <c r="X19" s="42"/>
      <c r="Y19" s="43"/>
      <c r="Z19" s="42"/>
      <c r="AA19" s="43"/>
      <c r="AB19" s="49"/>
      <c r="AC19" s="119"/>
      <c r="AF19" s="42"/>
      <c r="AG19" s="120"/>
      <c r="AH19" s="49"/>
      <c r="AI19" s="42"/>
      <c r="AJ19" s="121"/>
      <c r="AK19" s="49"/>
      <c r="AL19" s="42"/>
      <c r="AM19" s="121"/>
      <c r="AN19" s="49"/>
      <c r="AO19" s="42"/>
      <c r="AP19" s="43"/>
      <c r="AQ19" s="49"/>
      <c r="AR19" s="42"/>
      <c r="AS19" s="43"/>
      <c r="AT19" s="49"/>
    </row>
    <row r="20" spans="2:46" ht="26" customHeight="1" x14ac:dyDescent="0.2">
      <c r="B20" s="116" t="s">
        <v>1</v>
      </c>
      <c r="C20" s="117" t="s">
        <v>30</v>
      </c>
      <c r="D20" s="111">
        <f t="shared" ref="D20:AA20" si="17">SUM(D21:D28)</f>
        <v>7100</v>
      </c>
      <c r="E20" s="111">
        <f t="shared" si="17"/>
        <v>0</v>
      </c>
      <c r="F20" s="111">
        <f t="shared" si="17"/>
        <v>4350</v>
      </c>
      <c r="G20" s="111">
        <f t="shared" si="17"/>
        <v>0</v>
      </c>
      <c r="H20" s="111">
        <f t="shared" si="17"/>
        <v>1050</v>
      </c>
      <c r="I20" s="111">
        <f t="shared" si="17"/>
        <v>0</v>
      </c>
      <c r="J20" s="111">
        <f t="shared" si="17"/>
        <v>1450</v>
      </c>
      <c r="K20" s="111">
        <f t="shared" si="17"/>
        <v>0</v>
      </c>
      <c r="L20" s="111">
        <f t="shared" si="17"/>
        <v>1050</v>
      </c>
      <c r="M20" s="111">
        <f t="shared" si="17"/>
        <v>0</v>
      </c>
      <c r="N20" s="111">
        <f t="shared" si="17"/>
        <v>1050</v>
      </c>
      <c r="O20" s="111">
        <f t="shared" si="17"/>
        <v>0</v>
      </c>
      <c r="P20" s="111">
        <f t="shared" si="17"/>
        <v>1450</v>
      </c>
      <c r="Q20" s="111">
        <f t="shared" si="17"/>
        <v>172.49</v>
      </c>
      <c r="R20" s="111">
        <f t="shared" si="17"/>
        <v>3050</v>
      </c>
      <c r="S20" s="111">
        <f t="shared" si="17"/>
        <v>0</v>
      </c>
      <c r="T20" s="111">
        <f t="shared" si="17"/>
        <v>1050</v>
      </c>
      <c r="U20" s="111">
        <f t="shared" si="17"/>
        <v>0</v>
      </c>
      <c r="V20" s="111">
        <f t="shared" si="17"/>
        <v>3450</v>
      </c>
      <c r="W20" s="111">
        <f t="shared" si="17"/>
        <v>0</v>
      </c>
      <c r="X20" s="111">
        <f t="shared" si="17"/>
        <v>3050</v>
      </c>
      <c r="Y20" s="111">
        <f t="shared" si="17"/>
        <v>0</v>
      </c>
      <c r="Z20" s="111">
        <f t="shared" si="17"/>
        <v>3050</v>
      </c>
      <c r="AA20" s="111">
        <f t="shared" si="17"/>
        <v>0</v>
      </c>
      <c r="AB20" s="50">
        <f t="shared" ref="AB20:AB28" si="18">IFERROR(AA20/Z20,0)</f>
        <v>0</v>
      </c>
      <c r="AC20" s="118"/>
      <c r="AF20" s="41">
        <f>SUM(AF21:AF28)</f>
        <v>12500</v>
      </c>
      <c r="AG20" s="41">
        <f>SUM(AG21:AG28)</f>
        <v>0</v>
      </c>
      <c r="AH20" s="50">
        <f>IFERROR(AG20/AF20,0)</f>
        <v>0</v>
      </c>
      <c r="AI20" s="41">
        <f>SUM(AI21:AI28)</f>
        <v>3550</v>
      </c>
      <c r="AJ20" s="41">
        <f>SUM(AJ21:AJ28)</f>
        <v>0</v>
      </c>
      <c r="AK20" s="50">
        <f>IFERROR(AJ20/AI20,0)</f>
        <v>0</v>
      </c>
      <c r="AL20" s="41">
        <f>SUM(AL21:AL28)</f>
        <v>5550</v>
      </c>
      <c r="AM20" s="41">
        <f>SUM(AM21:AM28)</f>
        <v>172.49</v>
      </c>
      <c r="AN20" s="50">
        <f>IFERROR(AM20/AL20,0)</f>
        <v>3.1079279279279282E-2</v>
      </c>
      <c r="AO20" s="41">
        <f>SUM(AO21:AO28)</f>
        <v>9550</v>
      </c>
      <c r="AP20" s="41">
        <f>SUM(AP21:AP28)</f>
        <v>0</v>
      </c>
      <c r="AQ20" s="50">
        <f>IFERROR(AP20/AO20,0)</f>
        <v>0</v>
      </c>
      <c r="AR20" s="41">
        <f>SUM(AR21:AR28)</f>
        <v>31150</v>
      </c>
      <c r="AS20" s="41">
        <f>SUM(AS21:AS28)</f>
        <v>172.49</v>
      </c>
      <c r="AT20" s="50">
        <f>IFERROR(AS20/AR20,0)</f>
        <v>5.5373996789727133E-3</v>
      </c>
    </row>
    <row r="21" spans="2:46" ht="22.25" customHeight="1" x14ac:dyDescent="0.2">
      <c r="B21" s="109" t="s">
        <v>44</v>
      </c>
      <c r="C21" s="44"/>
      <c r="D21" s="42">
        <v>0</v>
      </c>
      <c r="E21" s="43"/>
      <c r="F21" s="42">
        <v>2000</v>
      </c>
      <c r="G21" s="43"/>
      <c r="H21" s="42">
        <v>0</v>
      </c>
      <c r="I21" s="43"/>
      <c r="J21" s="42">
        <v>0</v>
      </c>
      <c r="K21" s="43"/>
      <c r="L21" s="42">
        <v>0</v>
      </c>
      <c r="M21" s="43"/>
      <c r="N21" s="42">
        <v>0</v>
      </c>
      <c r="O21" s="43"/>
      <c r="P21" s="42">
        <v>0</v>
      </c>
      <c r="Q21" s="43">
        <v>0</v>
      </c>
      <c r="R21" s="42">
        <v>2000</v>
      </c>
      <c r="S21" s="43"/>
      <c r="T21" s="42">
        <v>0</v>
      </c>
      <c r="U21" s="43"/>
      <c r="V21" s="42">
        <v>2000</v>
      </c>
      <c r="W21" s="43"/>
      <c r="X21" s="42">
        <v>2000</v>
      </c>
      <c r="Y21" s="43"/>
      <c r="Z21" s="42">
        <v>2000</v>
      </c>
      <c r="AA21" s="43"/>
      <c r="AB21" s="48">
        <f t="shared" si="18"/>
        <v>0</v>
      </c>
      <c r="AC21" s="119"/>
      <c r="AF21" s="42">
        <f t="shared" ref="AF21:AG28" si="19">D21+F21+H21</f>
        <v>2000</v>
      </c>
      <c r="AG21" s="120">
        <f t="shared" si="19"/>
        <v>0</v>
      </c>
      <c r="AH21" s="48">
        <f>IFERROR(AG21/AF21,0)</f>
        <v>0</v>
      </c>
      <c r="AI21" s="42">
        <f t="shared" ref="AI21:AJ28" si="20">J21+L21+N21</f>
        <v>0</v>
      </c>
      <c r="AJ21" s="121">
        <f t="shared" si="20"/>
        <v>0</v>
      </c>
      <c r="AK21" s="48">
        <f>IFERROR(AJ21/AI21,0)</f>
        <v>0</v>
      </c>
      <c r="AL21" s="42">
        <f t="shared" ref="AL21:AM28" si="21">P21+R21+T21</f>
        <v>2000</v>
      </c>
      <c r="AM21" s="121">
        <f t="shared" si="21"/>
        <v>0</v>
      </c>
      <c r="AN21" s="48">
        <f>IFERROR(AM21/AL21,0)</f>
        <v>0</v>
      </c>
      <c r="AO21" s="42">
        <f t="shared" ref="AO21:AP28" si="22">V21+X21+Z21</f>
        <v>6000</v>
      </c>
      <c r="AP21" s="43">
        <f t="shared" si="22"/>
        <v>0</v>
      </c>
      <c r="AQ21" s="48">
        <f>IFERROR(AP21/AO21,0)</f>
        <v>0</v>
      </c>
      <c r="AR21" s="42">
        <f t="shared" si="14"/>
        <v>10000</v>
      </c>
      <c r="AS21" s="43">
        <f t="shared" si="15"/>
        <v>0</v>
      </c>
      <c r="AT21" s="48">
        <f>IFERROR(AS21/AR21,0)</f>
        <v>0</v>
      </c>
    </row>
    <row r="22" spans="2:46" s="9" customFormat="1" ht="22.25" customHeight="1" x14ac:dyDescent="0.2">
      <c r="B22" s="109" t="s">
        <v>45</v>
      </c>
      <c r="C22" s="44"/>
      <c r="D22" s="42">
        <v>3000</v>
      </c>
      <c r="E22" s="43"/>
      <c r="F22" s="42">
        <v>100</v>
      </c>
      <c r="G22" s="43"/>
      <c r="H22" s="42">
        <v>100</v>
      </c>
      <c r="I22" s="43"/>
      <c r="J22" s="42">
        <v>500</v>
      </c>
      <c r="K22" s="43"/>
      <c r="L22" s="42">
        <v>100</v>
      </c>
      <c r="M22" s="43"/>
      <c r="N22" s="42">
        <v>100</v>
      </c>
      <c r="O22" s="43"/>
      <c r="P22" s="42">
        <v>500</v>
      </c>
      <c r="Q22" s="43">
        <v>0</v>
      </c>
      <c r="R22" s="42">
        <v>100</v>
      </c>
      <c r="S22" s="43"/>
      <c r="T22" s="42">
        <v>100</v>
      </c>
      <c r="U22" s="43"/>
      <c r="V22" s="42">
        <v>500</v>
      </c>
      <c r="W22" s="43"/>
      <c r="X22" s="42">
        <v>100</v>
      </c>
      <c r="Y22" s="43"/>
      <c r="Z22" s="42">
        <v>100</v>
      </c>
      <c r="AA22" s="43"/>
      <c r="AB22" s="48">
        <f t="shared" si="18"/>
        <v>0</v>
      </c>
      <c r="AC22" s="122"/>
      <c r="AF22" s="42">
        <f t="shared" si="19"/>
        <v>3200</v>
      </c>
      <c r="AG22" s="120">
        <f t="shared" si="19"/>
        <v>0</v>
      </c>
      <c r="AH22" s="48">
        <f t="shared" ref="AH22:AH28" si="23">IFERROR(AG22/AF22,0)</f>
        <v>0</v>
      </c>
      <c r="AI22" s="42">
        <f t="shared" si="20"/>
        <v>700</v>
      </c>
      <c r="AJ22" s="121">
        <f t="shared" si="20"/>
        <v>0</v>
      </c>
      <c r="AK22" s="48">
        <f t="shared" ref="AK22:AK28" si="24">IFERROR(AJ22/AI22,0)</f>
        <v>0</v>
      </c>
      <c r="AL22" s="42">
        <f t="shared" si="21"/>
        <v>700</v>
      </c>
      <c r="AM22" s="121">
        <f t="shared" si="21"/>
        <v>0</v>
      </c>
      <c r="AN22" s="48">
        <f t="shared" ref="AN22:AN28" si="25">IFERROR(AM22/AL22,0)</f>
        <v>0</v>
      </c>
      <c r="AO22" s="42">
        <f t="shared" si="22"/>
        <v>700</v>
      </c>
      <c r="AP22" s="43">
        <f t="shared" si="22"/>
        <v>0</v>
      </c>
      <c r="AQ22" s="48">
        <f t="shared" ref="AQ22:AQ28" si="26">IFERROR(AP22/AO22,0)</f>
        <v>0</v>
      </c>
      <c r="AR22" s="42">
        <f t="shared" si="14"/>
        <v>5300</v>
      </c>
      <c r="AS22" s="43">
        <f t="shared" si="15"/>
        <v>0</v>
      </c>
      <c r="AT22" s="48">
        <f t="shared" ref="AT22:AT28" si="27">IFERROR(AS22/AR22,0)</f>
        <v>0</v>
      </c>
    </row>
    <row r="23" spans="2:46" ht="22.25" customHeight="1" x14ac:dyDescent="0.2">
      <c r="B23" s="109" t="s">
        <v>46</v>
      </c>
      <c r="C23" s="44"/>
      <c r="D23" s="42">
        <v>0</v>
      </c>
      <c r="E23" s="43"/>
      <c r="F23" s="42">
        <v>0</v>
      </c>
      <c r="G23" s="43"/>
      <c r="H23" s="42">
        <v>0</v>
      </c>
      <c r="I23" s="43"/>
      <c r="J23" s="42">
        <v>0</v>
      </c>
      <c r="K23" s="43"/>
      <c r="L23" s="42">
        <v>0</v>
      </c>
      <c r="M23" s="43"/>
      <c r="N23" s="42">
        <v>0</v>
      </c>
      <c r="O23" s="43"/>
      <c r="P23" s="42">
        <v>0</v>
      </c>
      <c r="Q23" s="43">
        <v>0</v>
      </c>
      <c r="R23" s="42">
        <v>0</v>
      </c>
      <c r="S23" s="43"/>
      <c r="T23" s="42">
        <v>0</v>
      </c>
      <c r="U23" s="43"/>
      <c r="V23" s="42">
        <v>0</v>
      </c>
      <c r="W23" s="43"/>
      <c r="X23" s="42">
        <v>0</v>
      </c>
      <c r="Y23" s="43"/>
      <c r="Z23" s="42">
        <v>0</v>
      </c>
      <c r="AA23" s="43"/>
      <c r="AB23" s="48">
        <f t="shared" si="18"/>
        <v>0</v>
      </c>
      <c r="AC23" s="119"/>
      <c r="AF23" s="42">
        <f t="shared" si="19"/>
        <v>0</v>
      </c>
      <c r="AG23" s="120">
        <f t="shared" si="19"/>
        <v>0</v>
      </c>
      <c r="AH23" s="48">
        <f t="shared" si="23"/>
        <v>0</v>
      </c>
      <c r="AI23" s="42">
        <f t="shared" si="20"/>
        <v>0</v>
      </c>
      <c r="AJ23" s="121">
        <f t="shared" si="20"/>
        <v>0</v>
      </c>
      <c r="AK23" s="48">
        <f t="shared" si="24"/>
        <v>0</v>
      </c>
      <c r="AL23" s="42">
        <f t="shared" si="21"/>
        <v>0</v>
      </c>
      <c r="AM23" s="121">
        <f t="shared" si="21"/>
        <v>0</v>
      </c>
      <c r="AN23" s="48">
        <f t="shared" si="25"/>
        <v>0</v>
      </c>
      <c r="AO23" s="42">
        <f t="shared" si="22"/>
        <v>0</v>
      </c>
      <c r="AP23" s="43">
        <f t="shared" si="22"/>
        <v>0</v>
      </c>
      <c r="AQ23" s="48">
        <f t="shared" si="26"/>
        <v>0</v>
      </c>
      <c r="AR23" s="42">
        <f t="shared" si="14"/>
        <v>0</v>
      </c>
      <c r="AS23" s="43">
        <f t="shared" si="15"/>
        <v>0</v>
      </c>
      <c r="AT23" s="48">
        <f t="shared" si="27"/>
        <v>0</v>
      </c>
    </row>
    <row r="24" spans="2:46" ht="22.25" customHeight="1" x14ac:dyDescent="0.2">
      <c r="B24" s="109" t="s">
        <v>47</v>
      </c>
      <c r="C24" s="44"/>
      <c r="D24" s="42">
        <v>300</v>
      </c>
      <c r="E24" s="43"/>
      <c r="F24" s="42">
        <v>50</v>
      </c>
      <c r="G24" s="43"/>
      <c r="H24" s="42">
        <v>50</v>
      </c>
      <c r="I24" s="43"/>
      <c r="J24" s="42">
        <v>50</v>
      </c>
      <c r="K24" s="43"/>
      <c r="L24" s="42">
        <v>50</v>
      </c>
      <c r="M24" s="43"/>
      <c r="N24" s="42">
        <v>50</v>
      </c>
      <c r="O24" s="43"/>
      <c r="P24" s="42">
        <v>50</v>
      </c>
      <c r="Q24" s="43">
        <v>0</v>
      </c>
      <c r="R24" s="42">
        <v>50</v>
      </c>
      <c r="S24" s="43"/>
      <c r="T24" s="42">
        <v>50</v>
      </c>
      <c r="U24" s="43"/>
      <c r="V24" s="42">
        <v>50</v>
      </c>
      <c r="W24" s="43"/>
      <c r="X24" s="42">
        <v>50</v>
      </c>
      <c r="Y24" s="43"/>
      <c r="Z24" s="42">
        <v>50</v>
      </c>
      <c r="AA24" s="43"/>
      <c r="AB24" s="48">
        <f t="shared" si="18"/>
        <v>0</v>
      </c>
      <c r="AC24" s="119"/>
      <c r="AF24" s="42">
        <f t="shared" si="19"/>
        <v>400</v>
      </c>
      <c r="AG24" s="120">
        <f t="shared" si="19"/>
        <v>0</v>
      </c>
      <c r="AH24" s="48">
        <f t="shared" si="23"/>
        <v>0</v>
      </c>
      <c r="AI24" s="42">
        <f t="shared" si="20"/>
        <v>150</v>
      </c>
      <c r="AJ24" s="121">
        <f t="shared" si="20"/>
        <v>0</v>
      </c>
      <c r="AK24" s="48">
        <f t="shared" si="24"/>
        <v>0</v>
      </c>
      <c r="AL24" s="42">
        <f t="shared" si="21"/>
        <v>150</v>
      </c>
      <c r="AM24" s="121">
        <f t="shared" si="21"/>
        <v>0</v>
      </c>
      <c r="AN24" s="48">
        <f t="shared" si="25"/>
        <v>0</v>
      </c>
      <c r="AO24" s="42">
        <f t="shared" si="22"/>
        <v>150</v>
      </c>
      <c r="AP24" s="43">
        <f t="shared" si="22"/>
        <v>0</v>
      </c>
      <c r="AQ24" s="48">
        <f t="shared" si="26"/>
        <v>0</v>
      </c>
      <c r="AR24" s="42">
        <f t="shared" si="14"/>
        <v>850</v>
      </c>
      <c r="AS24" s="43">
        <f t="shared" si="15"/>
        <v>0</v>
      </c>
      <c r="AT24" s="48">
        <f t="shared" si="27"/>
        <v>0</v>
      </c>
    </row>
    <row r="25" spans="2:46" ht="22.25" customHeight="1" x14ac:dyDescent="0.2">
      <c r="B25" s="109" t="s">
        <v>48</v>
      </c>
      <c r="C25" s="44"/>
      <c r="D25" s="42">
        <v>300</v>
      </c>
      <c r="E25" s="43"/>
      <c r="F25" s="42">
        <v>300</v>
      </c>
      <c r="G25" s="43"/>
      <c r="H25" s="42">
        <v>300</v>
      </c>
      <c r="I25" s="43"/>
      <c r="J25" s="42">
        <v>300</v>
      </c>
      <c r="K25" s="43"/>
      <c r="L25" s="42">
        <v>300</v>
      </c>
      <c r="M25" s="43"/>
      <c r="N25" s="42">
        <v>300</v>
      </c>
      <c r="O25" s="43"/>
      <c r="P25" s="42">
        <v>300</v>
      </c>
      <c r="Q25" s="43">
        <v>94</v>
      </c>
      <c r="R25" s="42">
        <v>300</v>
      </c>
      <c r="S25" s="43"/>
      <c r="T25" s="42">
        <v>300</v>
      </c>
      <c r="U25" s="43"/>
      <c r="V25" s="42">
        <v>300</v>
      </c>
      <c r="W25" s="43"/>
      <c r="X25" s="42">
        <v>300</v>
      </c>
      <c r="Y25" s="43"/>
      <c r="Z25" s="42">
        <v>300</v>
      </c>
      <c r="AA25" s="43"/>
      <c r="AB25" s="48">
        <f t="shared" si="18"/>
        <v>0</v>
      </c>
      <c r="AC25" s="119"/>
      <c r="AF25" s="42">
        <f t="shared" si="19"/>
        <v>900</v>
      </c>
      <c r="AG25" s="120">
        <f t="shared" si="19"/>
        <v>0</v>
      </c>
      <c r="AH25" s="48">
        <f t="shared" si="23"/>
        <v>0</v>
      </c>
      <c r="AI25" s="42">
        <f t="shared" si="20"/>
        <v>900</v>
      </c>
      <c r="AJ25" s="121">
        <f t="shared" si="20"/>
        <v>0</v>
      </c>
      <c r="AK25" s="48">
        <f t="shared" si="24"/>
        <v>0</v>
      </c>
      <c r="AL25" s="42">
        <f t="shared" si="21"/>
        <v>900</v>
      </c>
      <c r="AM25" s="121">
        <f t="shared" si="21"/>
        <v>94</v>
      </c>
      <c r="AN25" s="48">
        <f t="shared" si="25"/>
        <v>0.10444444444444445</v>
      </c>
      <c r="AO25" s="42">
        <f t="shared" si="22"/>
        <v>900</v>
      </c>
      <c r="AP25" s="43">
        <f t="shared" si="22"/>
        <v>0</v>
      </c>
      <c r="AQ25" s="48">
        <f t="shared" si="26"/>
        <v>0</v>
      </c>
      <c r="AR25" s="42">
        <f t="shared" si="14"/>
        <v>3600</v>
      </c>
      <c r="AS25" s="43">
        <f t="shared" si="15"/>
        <v>94</v>
      </c>
      <c r="AT25" s="48">
        <f t="shared" si="27"/>
        <v>2.6111111111111113E-2</v>
      </c>
    </row>
    <row r="26" spans="2:46" ht="22.25" customHeight="1" x14ac:dyDescent="0.2">
      <c r="B26" s="109" t="s">
        <v>49</v>
      </c>
      <c r="C26" s="44"/>
      <c r="D26" s="42">
        <v>3000</v>
      </c>
      <c r="E26" s="43"/>
      <c r="F26" s="42">
        <v>1800</v>
      </c>
      <c r="G26" s="43"/>
      <c r="H26" s="42">
        <v>500</v>
      </c>
      <c r="I26" s="43"/>
      <c r="J26" s="42">
        <v>500</v>
      </c>
      <c r="K26" s="43"/>
      <c r="L26" s="42">
        <v>500</v>
      </c>
      <c r="M26" s="43"/>
      <c r="N26" s="42">
        <v>500</v>
      </c>
      <c r="O26" s="43"/>
      <c r="P26" s="42">
        <v>500</v>
      </c>
      <c r="Q26" s="43">
        <v>78.490000000000009</v>
      </c>
      <c r="R26" s="42">
        <v>500</v>
      </c>
      <c r="S26" s="43"/>
      <c r="T26" s="42">
        <v>500</v>
      </c>
      <c r="U26" s="43"/>
      <c r="V26" s="42">
        <v>500</v>
      </c>
      <c r="W26" s="43"/>
      <c r="X26" s="42">
        <v>500</v>
      </c>
      <c r="Y26" s="43"/>
      <c r="Z26" s="42">
        <v>500</v>
      </c>
      <c r="AA26" s="43"/>
      <c r="AB26" s="48">
        <f t="shared" si="18"/>
        <v>0</v>
      </c>
      <c r="AC26" s="119"/>
      <c r="AF26" s="42">
        <f t="shared" si="19"/>
        <v>5300</v>
      </c>
      <c r="AG26" s="120">
        <f t="shared" si="19"/>
        <v>0</v>
      </c>
      <c r="AH26" s="48">
        <f t="shared" si="23"/>
        <v>0</v>
      </c>
      <c r="AI26" s="42">
        <f t="shared" si="20"/>
        <v>1500</v>
      </c>
      <c r="AJ26" s="121">
        <f t="shared" si="20"/>
        <v>0</v>
      </c>
      <c r="AK26" s="48">
        <f t="shared" si="24"/>
        <v>0</v>
      </c>
      <c r="AL26" s="42">
        <f t="shared" si="21"/>
        <v>1500</v>
      </c>
      <c r="AM26" s="121">
        <f t="shared" si="21"/>
        <v>78.490000000000009</v>
      </c>
      <c r="AN26" s="48">
        <f t="shared" si="25"/>
        <v>5.2326666666666674E-2</v>
      </c>
      <c r="AO26" s="42">
        <f t="shared" si="22"/>
        <v>1500</v>
      </c>
      <c r="AP26" s="43">
        <f t="shared" si="22"/>
        <v>0</v>
      </c>
      <c r="AQ26" s="48">
        <f t="shared" si="26"/>
        <v>0</v>
      </c>
      <c r="AR26" s="42">
        <f t="shared" si="14"/>
        <v>9800</v>
      </c>
      <c r="AS26" s="43">
        <f t="shared" si="15"/>
        <v>78.490000000000009</v>
      </c>
      <c r="AT26" s="48">
        <f t="shared" si="27"/>
        <v>8.0091836734693892E-3</v>
      </c>
    </row>
    <row r="27" spans="2:46" ht="22.25" customHeight="1" x14ac:dyDescent="0.2">
      <c r="B27" s="109" t="s">
        <v>50</v>
      </c>
      <c r="C27" s="44"/>
      <c r="D27" s="42">
        <v>500</v>
      </c>
      <c r="E27" s="43"/>
      <c r="F27" s="42">
        <v>100</v>
      </c>
      <c r="G27" s="43"/>
      <c r="H27" s="42">
        <v>100</v>
      </c>
      <c r="I27" s="43"/>
      <c r="J27" s="42">
        <v>100</v>
      </c>
      <c r="K27" s="43"/>
      <c r="L27" s="42">
        <v>100</v>
      </c>
      <c r="M27" s="43"/>
      <c r="N27" s="42">
        <v>100</v>
      </c>
      <c r="O27" s="43"/>
      <c r="P27" s="42">
        <v>100</v>
      </c>
      <c r="Q27" s="43">
        <v>0</v>
      </c>
      <c r="R27" s="42">
        <v>100</v>
      </c>
      <c r="S27" s="43"/>
      <c r="T27" s="42">
        <v>100</v>
      </c>
      <c r="U27" s="43"/>
      <c r="V27" s="42">
        <v>100</v>
      </c>
      <c r="W27" s="43"/>
      <c r="X27" s="42">
        <v>100</v>
      </c>
      <c r="Y27" s="43"/>
      <c r="Z27" s="42">
        <v>100</v>
      </c>
      <c r="AA27" s="43"/>
      <c r="AB27" s="48">
        <f t="shared" si="18"/>
        <v>0</v>
      </c>
      <c r="AC27" s="119"/>
      <c r="AF27" s="42">
        <f t="shared" si="19"/>
        <v>700</v>
      </c>
      <c r="AG27" s="120">
        <f t="shared" si="19"/>
        <v>0</v>
      </c>
      <c r="AH27" s="48">
        <f t="shared" si="23"/>
        <v>0</v>
      </c>
      <c r="AI27" s="42">
        <f t="shared" si="20"/>
        <v>300</v>
      </c>
      <c r="AJ27" s="121">
        <f t="shared" si="20"/>
        <v>0</v>
      </c>
      <c r="AK27" s="48">
        <f t="shared" si="24"/>
        <v>0</v>
      </c>
      <c r="AL27" s="42">
        <f t="shared" si="21"/>
        <v>300</v>
      </c>
      <c r="AM27" s="121">
        <f t="shared" si="21"/>
        <v>0</v>
      </c>
      <c r="AN27" s="48">
        <f t="shared" si="25"/>
        <v>0</v>
      </c>
      <c r="AO27" s="42">
        <f t="shared" si="22"/>
        <v>300</v>
      </c>
      <c r="AP27" s="43">
        <f t="shared" si="22"/>
        <v>0</v>
      </c>
      <c r="AQ27" s="48">
        <f t="shared" si="26"/>
        <v>0</v>
      </c>
      <c r="AR27" s="42">
        <f t="shared" si="14"/>
        <v>1600</v>
      </c>
      <c r="AS27" s="43">
        <f t="shared" si="15"/>
        <v>0</v>
      </c>
      <c r="AT27" s="48">
        <f t="shared" si="27"/>
        <v>0</v>
      </c>
    </row>
    <row r="28" spans="2:46" ht="22.25" customHeight="1" x14ac:dyDescent="0.2">
      <c r="B28" s="109" t="s">
        <v>51</v>
      </c>
      <c r="C28" s="44"/>
      <c r="D28" s="42">
        <v>0</v>
      </c>
      <c r="E28" s="43"/>
      <c r="F28" s="42">
        <v>0</v>
      </c>
      <c r="G28" s="43"/>
      <c r="H28" s="42">
        <v>0</v>
      </c>
      <c r="I28" s="43"/>
      <c r="J28" s="42">
        <v>0</v>
      </c>
      <c r="K28" s="43"/>
      <c r="L28" s="42">
        <v>0</v>
      </c>
      <c r="M28" s="43"/>
      <c r="N28" s="42">
        <v>0</v>
      </c>
      <c r="O28" s="43"/>
      <c r="P28" s="42">
        <v>0</v>
      </c>
      <c r="Q28" s="43">
        <v>0</v>
      </c>
      <c r="R28" s="42">
        <v>0</v>
      </c>
      <c r="S28" s="43"/>
      <c r="T28" s="42">
        <v>0</v>
      </c>
      <c r="U28" s="43"/>
      <c r="V28" s="42">
        <v>0</v>
      </c>
      <c r="W28" s="43"/>
      <c r="X28" s="42">
        <v>0</v>
      </c>
      <c r="Y28" s="43"/>
      <c r="Z28" s="42">
        <v>0</v>
      </c>
      <c r="AA28" s="43"/>
      <c r="AB28" s="48">
        <f t="shared" si="18"/>
        <v>0</v>
      </c>
      <c r="AC28" s="119"/>
      <c r="AF28" s="42">
        <f t="shared" si="19"/>
        <v>0</v>
      </c>
      <c r="AG28" s="120">
        <f t="shared" si="19"/>
        <v>0</v>
      </c>
      <c r="AH28" s="48">
        <f t="shared" si="23"/>
        <v>0</v>
      </c>
      <c r="AI28" s="42">
        <f t="shared" si="20"/>
        <v>0</v>
      </c>
      <c r="AJ28" s="121">
        <f t="shared" si="20"/>
        <v>0</v>
      </c>
      <c r="AK28" s="48">
        <f t="shared" si="24"/>
        <v>0</v>
      </c>
      <c r="AL28" s="42">
        <f t="shared" si="21"/>
        <v>0</v>
      </c>
      <c r="AM28" s="121">
        <f t="shared" si="21"/>
        <v>0</v>
      </c>
      <c r="AN28" s="48">
        <f t="shared" si="25"/>
        <v>0</v>
      </c>
      <c r="AO28" s="42">
        <f t="shared" si="22"/>
        <v>0</v>
      </c>
      <c r="AP28" s="43">
        <f t="shared" si="22"/>
        <v>0</v>
      </c>
      <c r="AQ28" s="48">
        <f t="shared" si="26"/>
        <v>0</v>
      </c>
      <c r="AR28" s="42">
        <f t="shared" si="14"/>
        <v>0</v>
      </c>
      <c r="AS28" s="43">
        <f t="shared" si="15"/>
        <v>0</v>
      </c>
      <c r="AT28" s="48">
        <f t="shared" si="27"/>
        <v>0</v>
      </c>
    </row>
    <row r="29" spans="2:46" ht="22.25" customHeight="1" x14ac:dyDescent="0.2">
      <c r="B29" s="45"/>
      <c r="C29" s="44"/>
      <c r="D29" s="42"/>
      <c r="E29" s="43"/>
      <c r="F29" s="42"/>
      <c r="G29" s="43"/>
      <c r="H29" s="42"/>
      <c r="I29" s="43"/>
      <c r="J29" s="42"/>
      <c r="K29" s="43"/>
      <c r="L29" s="42"/>
      <c r="M29" s="43"/>
      <c r="N29" s="42"/>
      <c r="O29" s="43"/>
      <c r="P29" s="42"/>
      <c r="Q29" s="43"/>
      <c r="R29" s="42"/>
      <c r="S29" s="43"/>
      <c r="T29" s="42"/>
      <c r="U29" s="43"/>
      <c r="V29" s="42"/>
      <c r="W29" s="43"/>
      <c r="X29" s="42"/>
      <c r="Y29" s="43"/>
      <c r="Z29" s="42"/>
      <c r="AA29" s="43"/>
      <c r="AB29" s="49"/>
      <c r="AC29" s="119"/>
      <c r="AF29" s="42"/>
      <c r="AG29" s="120"/>
      <c r="AH29" s="49"/>
      <c r="AI29" s="42"/>
      <c r="AJ29" s="121"/>
      <c r="AK29" s="49"/>
      <c r="AL29" s="42"/>
      <c r="AM29" s="121"/>
      <c r="AN29" s="49"/>
      <c r="AO29" s="42"/>
      <c r="AP29" s="43"/>
      <c r="AQ29" s="49"/>
      <c r="AR29" s="42"/>
      <c r="AS29" s="43"/>
      <c r="AT29" s="49"/>
    </row>
    <row r="30" spans="2:46" ht="22.25" customHeight="1" x14ac:dyDescent="0.2">
      <c r="B30" s="116" t="s">
        <v>2</v>
      </c>
      <c r="C30" s="117" t="s">
        <v>30</v>
      </c>
      <c r="D30" s="111">
        <f t="shared" ref="D30:AA30" si="28">SUM(D31:D32)</f>
        <v>1498</v>
      </c>
      <c r="E30" s="111">
        <f t="shared" si="28"/>
        <v>0</v>
      </c>
      <c r="F30" s="111">
        <f t="shared" si="28"/>
        <v>1998</v>
      </c>
      <c r="G30" s="111">
        <f t="shared" si="28"/>
        <v>0</v>
      </c>
      <c r="H30" s="111">
        <f t="shared" si="28"/>
        <v>1498</v>
      </c>
      <c r="I30" s="111">
        <f t="shared" si="28"/>
        <v>0</v>
      </c>
      <c r="J30" s="111">
        <f t="shared" si="28"/>
        <v>1998</v>
      </c>
      <c r="K30" s="111">
        <f t="shared" si="28"/>
        <v>0</v>
      </c>
      <c r="L30" s="111">
        <f t="shared" si="28"/>
        <v>1498</v>
      </c>
      <c r="M30" s="111">
        <f t="shared" si="28"/>
        <v>0</v>
      </c>
      <c r="N30" s="111">
        <f t="shared" si="28"/>
        <v>3998</v>
      </c>
      <c r="O30" s="111">
        <f t="shared" si="28"/>
        <v>0</v>
      </c>
      <c r="P30" s="111">
        <f t="shared" si="28"/>
        <v>1498</v>
      </c>
      <c r="Q30" s="111">
        <f t="shared" si="28"/>
        <v>0</v>
      </c>
      <c r="R30" s="111">
        <f t="shared" si="28"/>
        <v>1998</v>
      </c>
      <c r="S30" s="111">
        <f t="shared" si="28"/>
        <v>0</v>
      </c>
      <c r="T30" s="111">
        <f t="shared" si="28"/>
        <v>1498</v>
      </c>
      <c r="U30" s="111">
        <f t="shared" si="28"/>
        <v>0</v>
      </c>
      <c r="V30" s="111">
        <f t="shared" si="28"/>
        <v>1998</v>
      </c>
      <c r="W30" s="111">
        <f t="shared" si="28"/>
        <v>0</v>
      </c>
      <c r="X30" s="111">
        <f t="shared" si="28"/>
        <v>1498</v>
      </c>
      <c r="Y30" s="111">
        <f t="shared" si="28"/>
        <v>0</v>
      </c>
      <c r="Z30" s="111">
        <f t="shared" si="28"/>
        <v>1998</v>
      </c>
      <c r="AA30" s="111">
        <f t="shared" si="28"/>
        <v>0</v>
      </c>
      <c r="AB30" s="50">
        <f>IFERROR(AA30/Z30,0)</f>
        <v>0</v>
      </c>
      <c r="AC30" s="118"/>
      <c r="AF30" s="41">
        <f>SUM(AF31:AF32)</f>
        <v>4994</v>
      </c>
      <c r="AG30" s="41">
        <f>SUM(AG31:AG32)</f>
        <v>0</v>
      </c>
      <c r="AH30" s="50">
        <f>IFERROR(AG30/AF30,0)</f>
        <v>0</v>
      </c>
      <c r="AI30" s="41">
        <f>SUM(AI31:AI32)</f>
        <v>7494</v>
      </c>
      <c r="AJ30" s="41">
        <f>SUM(AJ31:AJ32)</f>
        <v>0</v>
      </c>
      <c r="AK30" s="50">
        <f>IFERROR(AJ30/AI30,0)</f>
        <v>0</v>
      </c>
      <c r="AL30" s="41">
        <f>SUM(AL31:AL32)</f>
        <v>4994</v>
      </c>
      <c r="AM30" s="41">
        <f>SUM(AM31:AM32)</f>
        <v>0</v>
      </c>
      <c r="AN30" s="50">
        <f>IFERROR(AM30/AL30,0)</f>
        <v>0</v>
      </c>
      <c r="AO30" s="41">
        <f>SUM(AO31:AO32)</f>
        <v>5494</v>
      </c>
      <c r="AP30" s="41">
        <f>SUM(AP31:AP32)</f>
        <v>0</v>
      </c>
      <c r="AQ30" s="50">
        <f>IFERROR(AP30/AO30,0)</f>
        <v>0</v>
      </c>
      <c r="AR30" s="41">
        <f>SUM(AR31:AR32)</f>
        <v>22976</v>
      </c>
      <c r="AS30" s="41">
        <f>SUM(AS31:AS32)</f>
        <v>0</v>
      </c>
      <c r="AT30" s="50">
        <f>IFERROR(AS30/AR30,0)</f>
        <v>0</v>
      </c>
    </row>
    <row r="31" spans="2:46" s="9" customFormat="1" ht="22.25" customHeight="1" x14ac:dyDescent="0.2">
      <c r="B31" s="109" t="s">
        <v>52</v>
      </c>
      <c r="C31" s="44"/>
      <c r="D31" s="42">
        <v>1458</v>
      </c>
      <c r="E31" s="43"/>
      <c r="F31" s="42">
        <v>1458</v>
      </c>
      <c r="G31" s="43"/>
      <c r="H31" s="42">
        <v>1458</v>
      </c>
      <c r="I31" s="43"/>
      <c r="J31" s="42">
        <v>1458</v>
      </c>
      <c r="K31" s="43"/>
      <c r="L31" s="42">
        <v>1458</v>
      </c>
      <c r="M31" s="43"/>
      <c r="N31" s="42">
        <v>1458</v>
      </c>
      <c r="O31" s="43"/>
      <c r="P31" s="42">
        <v>1458</v>
      </c>
      <c r="Q31" s="43"/>
      <c r="R31" s="42">
        <v>1458</v>
      </c>
      <c r="S31" s="43"/>
      <c r="T31" s="42">
        <v>1458</v>
      </c>
      <c r="U31" s="43"/>
      <c r="V31" s="42">
        <v>1458</v>
      </c>
      <c r="W31" s="43"/>
      <c r="X31" s="42">
        <v>1458</v>
      </c>
      <c r="Y31" s="43"/>
      <c r="Z31" s="42">
        <v>1458</v>
      </c>
      <c r="AA31" s="43"/>
      <c r="AB31" s="48">
        <f>IFERROR(AA31/Z31,0)</f>
        <v>0</v>
      </c>
      <c r="AC31" s="122"/>
      <c r="AF31" s="42">
        <f>D31+F31+H31</f>
        <v>4374</v>
      </c>
      <c r="AG31" s="120">
        <f>E31+G31+I31</f>
        <v>0</v>
      </c>
      <c r="AH31" s="48">
        <f>IFERROR(AG31/AF31,0)</f>
        <v>0</v>
      </c>
      <c r="AI31" s="42">
        <f>J31+L31+N31</f>
        <v>4374</v>
      </c>
      <c r="AJ31" s="121">
        <f>K31+M31+O31</f>
        <v>0</v>
      </c>
      <c r="AK31" s="48">
        <f>IFERROR(AJ31/AI31,0)</f>
        <v>0</v>
      </c>
      <c r="AL31" s="42">
        <f>P31+R31+T31</f>
        <v>4374</v>
      </c>
      <c r="AM31" s="121">
        <f>Q31+S31+U31</f>
        <v>0</v>
      </c>
      <c r="AN31" s="48">
        <f>IFERROR(AM31/AL31,0)</f>
        <v>0</v>
      </c>
      <c r="AO31" s="42">
        <f>V31+X31+Z31</f>
        <v>4374</v>
      </c>
      <c r="AP31" s="43">
        <f>W31+Y31+AA31</f>
        <v>0</v>
      </c>
      <c r="AQ31" s="48">
        <f>IFERROR(AP31/AO31,0)</f>
        <v>0</v>
      </c>
      <c r="AR31" s="42">
        <f t="shared" si="14"/>
        <v>17496</v>
      </c>
      <c r="AS31" s="43">
        <f t="shared" si="15"/>
        <v>0</v>
      </c>
      <c r="AT31" s="48">
        <f>IFERROR(AS31/AR31,0)</f>
        <v>0</v>
      </c>
    </row>
    <row r="32" spans="2:46" ht="22.25" customHeight="1" x14ac:dyDescent="0.2">
      <c r="B32" s="109" t="s">
        <v>53</v>
      </c>
      <c r="C32" s="44"/>
      <c r="D32" s="42">
        <v>40</v>
      </c>
      <c r="E32" s="43"/>
      <c r="F32" s="42">
        <v>540</v>
      </c>
      <c r="G32" s="43"/>
      <c r="H32" s="42">
        <v>40</v>
      </c>
      <c r="I32" s="43"/>
      <c r="J32" s="42">
        <v>540</v>
      </c>
      <c r="K32" s="43"/>
      <c r="L32" s="42">
        <v>40</v>
      </c>
      <c r="M32" s="43"/>
      <c r="N32" s="42">
        <v>2540</v>
      </c>
      <c r="O32" s="43"/>
      <c r="P32" s="42">
        <v>40</v>
      </c>
      <c r="Q32" s="43"/>
      <c r="R32" s="42">
        <v>540</v>
      </c>
      <c r="S32" s="43"/>
      <c r="T32" s="42">
        <v>40</v>
      </c>
      <c r="U32" s="43"/>
      <c r="V32" s="42">
        <v>540</v>
      </c>
      <c r="W32" s="43"/>
      <c r="X32" s="42">
        <v>40</v>
      </c>
      <c r="Y32" s="43"/>
      <c r="Z32" s="42">
        <v>540</v>
      </c>
      <c r="AA32" s="43"/>
      <c r="AB32" s="48">
        <f>IFERROR(AA32/Z32,0)</f>
        <v>0</v>
      </c>
      <c r="AC32" s="119"/>
      <c r="AF32" s="42">
        <f>D32+F32+H32</f>
        <v>620</v>
      </c>
      <c r="AG32" s="120">
        <f>E32+G32+I32</f>
        <v>0</v>
      </c>
      <c r="AH32" s="48">
        <f>IFERROR(AG32/AF32,0)</f>
        <v>0</v>
      </c>
      <c r="AI32" s="42">
        <f>J32+L32+N32</f>
        <v>3120</v>
      </c>
      <c r="AJ32" s="121">
        <f>K32+M32+O32</f>
        <v>0</v>
      </c>
      <c r="AK32" s="48">
        <f>IFERROR(AJ32/AI32,0)</f>
        <v>0</v>
      </c>
      <c r="AL32" s="42">
        <f>P32+R32+T32</f>
        <v>620</v>
      </c>
      <c r="AM32" s="121">
        <f>Q32+S32+U32</f>
        <v>0</v>
      </c>
      <c r="AN32" s="48">
        <f>IFERROR(AM32/AL32,0)</f>
        <v>0</v>
      </c>
      <c r="AO32" s="42">
        <f>V32+X32+Z32</f>
        <v>1120</v>
      </c>
      <c r="AP32" s="43">
        <f>W32+Y32+AA32</f>
        <v>0</v>
      </c>
      <c r="AQ32" s="48">
        <f>IFERROR(AP32/AO32,0)</f>
        <v>0</v>
      </c>
      <c r="AR32" s="42">
        <f t="shared" si="14"/>
        <v>5480</v>
      </c>
      <c r="AS32" s="43">
        <f t="shared" si="15"/>
        <v>0</v>
      </c>
      <c r="AT32" s="48">
        <f>IFERROR(AS32/AR32,0)</f>
        <v>0</v>
      </c>
    </row>
    <row r="33" spans="2:46" ht="22.25" customHeight="1" x14ac:dyDescent="0.2">
      <c r="B33" s="45"/>
      <c r="C33" s="44"/>
      <c r="D33" s="42"/>
      <c r="E33" s="43"/>
      <c r="F33" s="42"/>
      <c r="G33" s="43"/>
      <c r="H33" s="42"/>
      <c r="I33" s="43"/>
      <c r="J33" s="42"/>
      <c r="K33" s="43"/>
      <c r="L33" s="42"/>
      <c r="M33" s="43"/>
      <c r="N33" s="42"/>
      <c r="O33" s="43"/>
      <c r="P33" s="42"/>
      <c r="Q33" s="43"/>
      <c r="R33" s="42"/>
      <c r="S33" s="43"/>
      <c r="T33" s="42"/>
      <c r="U33" s="43"/>
      <c r="V33" s="42"/>
      <c r="W33" s="43"/>
      <c r="X33" s="42"/>
      <c r="Y33" s="43"/>
      <c r="Z33" s="42"/>
      <c r="AA33" s="43"/>
      <c r="AB33" s="49"/>
      <c r="AC33" s="119"/>
      <c r="AF33" s="42"/>
      <c r="AG33" s="120"/>
      <c r="AH33" s="49"/>
      <c r="AI33" s="42"/>
      <c r="AJ33" s="121"/>
      <c r="AK33" s="49"/>
      <c r="AL33" s="42"/>
      <c r="AM33" s="121"/>
      <c r="AN33" s="49"/>
      <c r="AO33" s="42"/>
      <c r="AP33" s="43"/>
      <c r="AQ33" s="49"/>
      <c r="AR33" s="42"/>
      <c r="AS33" s="43"/>
      <c r="AT33" s="49"/>
    </row>
    <row r="34" spans="2:46" ht="26" customHeight="1" x14ac:dyDescent="0.2">
      <c r="B34" s="116" t="s">
        <v>3</v>
      </c>
      <c r="C34" s="117" t="s">
        <v>30</v>
      </c>
      <c r="D34" s="111">
        <f t="shared" ref="D34:AA34" si="29">SUM(D35:D36)</f>
        <v>5000</v>
      </c>
      <c r="E34" s="111">
        <f t="shared" si="29"/>
        <v>0</v>
      </c>
      <c r="F34" s="111">
        <f t="shared" si="29"/>
        <v>3000</v>
      </c>
      <c r="G34" s="111">
        <f t="shared" si="29"/>
        <v>0</v>
      </c>
      <c r="H34" s="111">
        <f t="shared" si="29"/>
        <v>150</v>
      </c>
      <c r="I34" s="111">
        <f t="shared" si="29"/>
        <v>0</v>
      </c>
      <c r="J34" s="111">
        <f t="shared" si="29"/>
        <v>150</v>
      </c>
      <c r="K34" s="111">
        <f t="shared" si="29"/>
        <v>0</v>
      </c>
      <c r="L34" s="111">
        <f t="shared" si="29"/>
        <v>150</v>
      </c>
      <c r="M34" s="111">
        <f t="shared" si="29"/>
        <v>0</v>
      </c>
      <c r="N34" s="111">
        <f t="shared" si="29"/>
        <v>150</v>
      </c>
      <c r="O34" s="111">
        <f t="shared" si="29"/>
        <v>0</v>
      </c>
      <c r="P34" s="111">
        <f t="shared" si="29"/>
        <v>150</v>
      </c>
      <c r="Q34" s="111">
        <f t="shared" si="29"/>
        <v>0</v>
      </c>
      <c r="R34" s="111">
        <f t="shared" si="29"/>
        <v>150</v>
      </c>
      <c r="S34" s="111">
        <f t="shared" si="29"/>
        <v>0</v>
      </c>
      <c r="T34" s="111">
        <f t="shared" si="29"/>
        <v>150</v>
      </c>
      <c r="U34" s="111">
        <f t="shared" si="29"/>
        <v>0</v>
      </c>
      <c r="V34" s="111">
        <f t="shared" si="29"/>
        <v>150</v>
      </c>
      <c r="W34" s="111">
        <f t="shared" si="29"/>
        <v>0</v>
      </c>
      <c r="X34" s="111">
        <f t="shared" si="29"/>
        <v>150</v>
      </c>
      <c r="Y34" s="111">
        <f t="shared" si="29"/>
        <v>0</v>
      </c>
      <c r="Z34" s="111">
        <f t="shared" si="29"/>
        <v>150</v>
      </c>
      <c r="AA34" s="111">
        <f t="shared" si="29"/>
        <v>0</v>
      </c>
      <c r="AB34" s="50">
        <f>IFERROR(AA34/Z34,0)</f>
        <v>0</v>
      </c>
      <c r="AC34" s="118"/>
      <c r="AF34" s="41">
        <f>SUM(AF35:AF36)</f>
        <v>8150</v>
      </c>
      <c r="AG34" s="41">
        <f>SUM(AG35:AG36)</f>
        <v>0</v>
      </c>
      <c r="AH34" s="50">
        <f>IFERROR(AG34/AF34,0)</f>
        <v>0</v>
      </c>
      <c r="AI34" s="41">
        <f>SUM(AI35:AI36)</f>
        <v>450</v>
      </c>
      <c r="AJ34" s="41">
        <f>SUM(AJ35:AJ36)</f>
        <v>0</v>
      </c>
      <c r="AK34" s="50">
        <f>IFERROR(AJ34/AI34,0)</f>
        <v>0</v>
      </c>
      <c r="AL34" s="41">
        <f>SUM(AL35:AL36)</f>
        <v>450</v>
      </c>
      <c r="AM34" s="41">
        <f>SUM(AM35:AM36)</f>
        <v>0</v>
      </c>
      <c r="AN34" s="50">
        <f>IFERROR(AM34/AL34,0)</f>
        <v>0</v>
      </c>
      <c r="AO34" s="41">
        <f>SUM(AO35:AO36)</f>
        <v>450</v>
      </c>
      <c r="AP34" s="41">
        <f>SUM(AP35:AP36)</f>
        <v>0</v>
      </c>
      <c r="AQ34" s="50">
        <f>IFERROR(AP34/AO34,0)</f>
        <v>0</v>
      </c>
      <c r="AR34" s="41">
        <f>SUM(AR35:AR36)</f>
        <v>9500</v>
      </c>
      <c r="AS34" s="41">
        <f>SUM(AS35:AS36)</f>
        <v>0</v>
      </c>
      <c r="AT34" s="50">
        <f>IFERROR(AS34/AR34,0)</f>
        <v>0</v>
      </c>
    </row>
    <row r="35" spans="2:46" s="9" customFormat="1" ht="22.25" customHeight="1" x14ac:dyDescent="0.2">
      <c r="B35" s="123" t="s">
        <v>54</v>
      </c>
      <c r="C35" s="124"/>
      <c r="D35" s="107">
        <v>0</v>
      </c>
      <c r="E35" s="43"/>
      <c r="F35" s="107">
        <v>0</v>
      </c>
      <c r="G35" s="43"/>
      <c r="H35" s="107">
        <v>0</v>
      </c>
      <c r="I35" s="43"/>
      <c r="J35" s="107">
        <v>0</v>
      </c>
      <c r="K35" s="43"/>
      <c r="L35" s="107">
        <v>0</v>
      </c>
      <c r="M35" s="43"/>
      <c r="N35" s="107">
        <v>0</v>
      </c>
      <c r="O35" s="43"/>
      <c r="P35" s="107">
        <v>0</v>
      </c>
      <c r="Q35" s="43"/>
      <c r="R35" s="107">
        <v>0</v>
      </c>
      <c r="S35" s="43"/>
      <c r="T35" s="107">
        <v>0</v>
      </c>
      <c r="U35" s="43"/>
      <c r="V35" s="107">
        <v>0</v>
      </c>
      <c r="W35" s="43"/>
      <c r="X35" s="107">
        <v>0</v>
      </c>
      <c r="Y35" s="43"/>
      <c r="Z35" s="107">
        <v>0</v>
      </c>
      <c r="AA35" s="43"/>
      <c r="AB35" s="48">
        <f>IFERROR(AA35/Z35,0)</f>
        <v>0</v>
      </c>
      <c r="AC35" s="122"/>
      <c r="AF35" s="42">
        <f>D35+F35+H35</f>
        <v>0</v>
      </c>
      <c r="AG35" s="120">
        <f>E35+G35+I35</f>
        <v>0</v>
      </c>
      <c r="AH35" s="48">
        <f>IFERROR(AG35/AF35,0)</f>
        <v>0</v>
      </c>
      <c r="AI35" s="42">
        <f>J35+L35+N35</f>
        <v>0</v>
      </c>
      <c r="AJ35" s="121">
        <f>K35+M35+O35</f>
        <v>0</v>
      </c>
      <c r="AK35" s="48">
        <f>IFERROR(AJ35/AI35,0)</f>
        <v>0</v>
      </c>
      <c r="AL35" s="42">
        <f>P35+R35+T35</f>
        <v>0</v>
      </c>
      <c r="AM35" s="121">
        <f>Q35+S35+U35</f>
        <v>0</v>
      </c>
      <c r="AN35" s="48">
        <f>IFERROR(AM35/AL35,0)</f>
        <v>0</v>
      </c>
      <c r="AO35" s="42">
        <f>V35+X35+Z35</f>
        <v>0</v>
      </c>
      <c r="AP35" s="43">
        <f>W35+Y35+AA35</f>
        <v>0</v>
      </c>
      <c r="AQ35" s="48">
        <f>IFERROR(AP35/AO35,0)</f>
        <v>0</v>
      </c>
      <c r="AR35" s="42">
        <f t="shared" si="14"/>
        <v>0</v>
      </c>
      <c r="AS35" s="43">
        <f t="shared" si="15"/>
        <v>0</v>
      </c>
      <c r="AT35" s="48">
        <f>IFERROR(AS35/AR35,0)</f>
        <v>0</v>
      </c>
    </row>
    <row r="36" spans="2:46" ht="22.25" customHeight="1" x14ac:dyDescent="0.2">
      <c r="B36" s="109" t="s">
        <v>55</v>
      </c>
      <c r="C36" s="44"/>
      <c r="D36" s="42">
        <v>5000</v>
      </c>
      <c r="E36" s="43"/>
      <c r="F36" s="42">
        <v>3000</v>
      </c>
      <c r="G36" s="43"/>
      <c r="H36" s="42">
        <v>150</v>
      </c>
      <c r="I36" s="43"/>
      <c r="J36" s="42">
        <v>150</v>
      </c>
      <c r="K36" s="43"/>
      <c r="L36" s="42">
        <v>150</v>
      </c>
      <c r="M36" s="43"/>
      <c r="N36" s="42">
        <v>150</v>
      </c>
      <c r="O36" s="43"/>
      <c r="P36" s="42">
        <v>150</v>
      </c>
      <c r="Q36" s="43"/>
      <c r="R36" s="42">
        <v>150</v>
      </c>
      <c r="S36" s="43"/>
      <c r="T36" s="42">
        <v>150</v>
      </c>
      <c r="U36" s="43"/>
      <c r="V36" s="42">
        <v>150</v>
      </c>
      <c r="W36" s="43"/>
      <c r="X36" s="42">
        <v>150</v>
      </c>
      <c r="Y36" s="43"/>
      <c r="Z36" s="42">
        <v>150</v>
      </c>
      <c r="AA36" s="43"/>
      <c r="AB36" s="48">
        <f>IFERROR(AA36/Z36,0)</f>
        <v>0</v>
      </c>
      <c r="AC36" s="119"/>
      <c r="AF36" s="42">
        <f>D36+F36+H36</f>
        <v>8150</v>
      </c>
      <c r="AG36" s="120">
        <f>E36+G36+I36</f>
        <v>0</v>
      </c>
      <c r="AH36" s="48">
        <f>IFERROR(AG36/AF36,0)</f>
        <v>0</v>
      </c>
      <c r="AI36" s="42">
        <f>J36+L36+N36</f>
        <v>450</v>
      </c>
      <c r="AJ36" s="121">
        <f>K36+M36+O36</f>
        <v>0</v>
      </c>
      <c r="AK36" s="48">
        <f>IFERROR(AJ36/AI36,0)</f>
        <v>0</v>
      </c>
      <c r="AL36" s="42">
        <f>P36+R36+T36</f>
        <v>450</v>
      </c>
      <c r="AM36" s="121">
        <f>Q36+S36+U36</f>
        <v>0</v>
      </c>
      <c r="AN36" s="48">
        <f>IFERROR(AM36/AL36,0)</f>
        <v>0</v>
      </c>
      <c r="AO36" s="42">
        <f>V36+X36+Z36</f>
        <v>450</v>
      </c>
      <c r="AP36" s="43">
        <f>W36+Y36+AA36</f>
        <v>0</v>
      </c>
      <c r="AQ36" s="48">
        <f>IFERROR(AP36/AO36,0)</f>
        <v>0</v>
      </c>
      <c r="AR36" s="42">
        <f t="shared" si="14"/>
        <v>9500</v>
      </c>
      <c r="AS36" s="43">
        <f t="shared" si="15"/>
        <v>0</v>
      </c>
      <c r="AT36" s="48">
        <f>IFERROR(AS36/AR36,0)</f>
        <v>0</v>
      </c>
    </row>
    <row r="37" spans="2:46" ht="22.25" customHeight="1" x14ac:dyDescent="0.2">
      <c r="B37" s="45"/>
      <c r="C37" s="44"/>
      <c r="D37" s="42"/>
      <c r="E37" s="43"/>
      <c r="F37" s="42"/>
      <c r="G37" s="43"/>
      <c r="H37" s="42"/>
      <c r="I37" s="43"/>
      <c r="J37" s="42"/>
      <c r="K37" s="43"/>
      <c r="L37" s="42"/>
      <c r="M37" s="43"/>
      <c r="N37" s="42"/>
      <c r="O37" s="43"/>
      <c r="P37" s="42"/>
      <c r="Q37" s="43"/>
      <c r="R37" s="42"/>
      <c r="S37" s="43"/>
      <c r="T37" s="42"/>
      <c r="U37" s="43"/>
      <c r="V37" s="42"/>
      <c r="W37" s="43"/>
      <c r="X37" s="42"/>
      <c r="Y37" s="43"/>
      <c r="Z37" s="42"/>
      <c r="AA37" s="43"/>
      <c r="AB37" s="49"/>
      <c r="AC37" s="119"/>
      <c r="AF37" s="42"/>
      <c r="AG37" s="120"/>
      <c r="AH37" s="49"/>
      <c r="AI37" s="42"/>
      <c r="AJ37" s="121"/>
      <c r="AK37" s="49"/>
      <c r="AL37" s="42"/>
      <c r="AM37" s="121"/>
      <c r="AN37" s="49"/>
      <c r="AO37" s="42"/>
      <c r="AP37" s="43"/>
      <c r="AQ37" s="49"/>
      <c r="AR37" s="42"/>
      <c r="AS37" s="43"/>
      <c r="AT37" s="49"/>
    </row>
    <row r="38" spans="2:46" ht="26" customHeight="1" x14ac:dyDescent="0.2">
      <c r="B38" s="116" t="s">
        <v>4</v>
      </c>
      <c r="C38" s="117" t="s">
        <v>30</v>
      </c>
      <c r="D38" s="111">
        <f t="shared" ref="D38:AA38" si="30">SUM(D39:D42)</f>
        <v>5700</v>
      </c>
      <c r="E38" s="111">
        <f t="shared" si="30"/>
        <v>0</v>
      </c>
      <c r="F38" s="111">
        <f t="shared" si="30"/>
        <v>700</v>
      </c>
      <c r="G38" s="111">
        <f t="shared" si="30"/>
        <v>0</v>
      </c>
      <c r="H38" s="111">
        <f t="shared" si="30"/>
        <v>700</v>
      </c>
      <c r="I38" s="111">
        <f t="shared" si="30"/>
        <v>0</v>
      </c>
      <c r="J38" s="111">
        <f t="shared" si="30"/>
        <v>2700</v>
      </c>
      <c r="K38" s="111">
        <f t="shared" si="30"/>
        <v>0</v>
      </c>
      <c r="L38" s="111">
        <f t="shared" si="30"/>
        <v>700</v>
      </c>
      <c r="M38" s="111">
        <f t="shared" si="30"/>
        <v>0</v>
      </c>
      <c r="N38" s="111">
        <f t="shared" si="30"/>
        <v>700</v>
      </c>
      <c r="O38" s="111">
        <f t="shared" si="30"/>
        <v>0</v>
      </c>
      <c r="P38" s="111">
        <f t="shared" si="30"/>
        <v>700</v>
      </c>
      <c r="Q38" s="111">
        <f t="shared" si="30"/>
        <v>0</v>
      </c>
      <c r="R38" s="111">
        <f t="shared" si="30"/>
        <v>2700</v>
      </c>
      <c r="S38" s="111">
        <f t="shared" si="30"/>
        <v>0</v>
      </c>
      <c r="T38" s="111">
        <f t="shared" si="30"/>
        <v>700</v>
      </c>
      <c r="U38" s="111">
        <f t="shared" si="30"/>
        <v>0</v>
      </c>
      <c r="V38" s="111">
        <f t="shared" si="30"/>
        <v>700</v>
      </c>
      <c r="W38" s="111">
        <f t="shared" si="30"/>
        <v>0</v>
      </c>
      <c r="X38" s="111">
        <f t="shared" si="30"/>
        <v>700</v>
      </c>
      <c r="Y38" s="111">
        <f t="shared" si="30"/>
        <v>0</v>
      </c>
      <c r="Z38" s="111">
        <f t="shared" si="30"/>
        <v>2700</v>
      </c>
      <c r="AA38" s="111">
        <f t="shared" si="30"/>
        <v>0</v>
      </c>
      <c r="AB38" s="50">
        <f>IFERROR(AA38/Z38,0)</f>
        <v>0</v>
      </c>
      <c r="AC38" s="118"/>
      <c r="AD38" s="8"/>
      <c r="AE38" s="8"/>
      <c r="AF38" s="41">
        <f>SUM(AF39:AF42)</f>
        <v>7100</v>
      </c>
      <c r="AG38" s="41">
        <f>SUM(AG39:AG42)</f>
        <v>0</v>
      </c>
      <c r="AH38" s="50">
        <f>IFERROR(AG38/AF38,0)</f>
        <v>0</v>
      </c>
      <c r="AI38" s="41">
        <f>SUM(AI39:AI42)</f>
        <v>4100</v>
      </c>
      <c r="AJ38" s="41">
        <f>SUM(AJ39:AJ42)</f>
        <v>0</v>
      </c>
      <c r="AK38" s="50">
        <f>IFERROR(AJ38/AI38,0)</f>
        <v>0</v>
      </c>
      <c r="AL38" s="41">
        <f>SUM(AL39:AL42)</f>
        <v>4100</v>
      </c>
      <c r="AM38" s="41">
        <f>SUM(AM39:AM42)</f>
        <v>0</v>
      </c>
      <c r="AN38" s="50">
        <f>IFERROR(AM38/AL38,0)</f>
        <v>0</v>
      </c>
      <c r="AO38" s="41">
        <f>SUM(AO39:AO42)</f>
        <v>4100</v>
      </c>
      <c r="AP38" s="41">
        <f>SUM(AP39:AP42)</f>
        <v>0</v>
      </c>
      <c r="AQ38" s="50">
        <f>IFERROR(AP38/AO38,0)</f>
        <v>0</v>
      </c>
      <c r="AR38" s="41">
        <f>SUM(AR39:AR42)</f>
        <v>19400</v>
      </c>
      <c r="AS38" s="41">
        <f>SUM(AS39:AS42)</f>
        <v>0</v>
      </c>
      <c r="AT38" s="50">
        <f>IFERROR(AS38/AR38,0)</f>
        <v>0</v>
      </c>
    </row>
    <row r="39" spans="2:46" ht="26" customHeight="1" x14ac:dyDescent="0.2">
      <c r="B39" s="109" t="s">
        <v>56</v>
      </c>
      <c r="C39" s="44"/>
      <c r="D39" s="42">
        <v>5000</v>
      </c>
      <c r="E39" s="43"/>
      <c r="F39" s="42">
        <v>0</v>
      </c>
      <c r="G39" s="43"/>
      <c r="H39" s="42">
        <v>0</v>
      </c>
      <c r="I39" s="43"/>
      <c r="J39" s="42">
        <v>2000</v>
      </c>
      <c r="K39" s="43"/>
      <c r="L39" s="42">
        <v>0</v>
      </c>
      <c r="M39" s="43"/>
      <c r="N39" s="42">
        <v>0</v>
      </c>
      <c r="O39" s="43"/>
      <c r="P39" s="42">
        <v>0</v>
      </c>
      <c r="Q39" s="43"/>
      <c r="R39" s="42">
        <v>2000</v>
      </c>
      <c r="S39" s="43"/>
      <c r="T39" s="42">
        <v>0</v>
      </c>
      <c r="U39" s="43"/>
      <c r="V39" s="42">
        <v>0</v>
      </c>
      <c r="W39" s="43"/>
      <c r="X39" s="42">
        <v>0</v>
      </c>
      <c r="Y39" s="43"/>
      <c r="Z39" s="42">
        <v>2000</v>
      </c>
      <c r="AA39" s="43"/>
      <c r="AB39" s="48">
        <f>IFERROR(AA39/Z39,0)</f>
        <v>0</v>
      </c>
      <c r="AC39" s="119" t="s">
        <v>122</v>
      </c>
      <c r="AF39" s="42">
        <f t="shared" ref="AF39:AG42" si="31">D39+F39+H39</f>
        <v>5000</v>
      </c>
      <c r="AG39" s="120">
        <f t="shared" si="31"/>
        <v>0</v>
      </c>
      <c r="AH39" s="48">
        <f>IFERROR(AG39/AF39,0)</f>
        <v>0</v>
      </c>
      <c r="AI39" s="42">
        <f t="shared" ref="AI39:AJ42" si="32">J39+L39+N39</f>
        <v>2000</v>
      </c>
      <c r="AJ39" s="121">
        <f t="shared" si="32"/>
        <v>0</v>
      </c>
      <c r="AK39" s="48">
        <f>IFERROR(AJ39/AI39,0)</f>
        <v>0</v>
      </c>
      <c r="AL39" s="42">
        <f t="shared" ref="AL39:AM42" si="33">P39+R39+T39</f>
        <v>2000</v>
      </c>
      <c r="AM39" s="121">
        <f t="shared" si="33"/>
        <v>0</v>
      </c>
      <c r="AN39" s="48">
        <f>IFERROR(AM39/AL39,0)</f>
        <v>0</v>
      </c>
      <c r="AO39" s="42">
        <f t="shared" ref="AO39:AP42" si="34">V39+X39+Z39</f>
        <v>2000</v>
      </c>
      <c r="AP39" s="43">
        <f t="shared" si="34"/>
        <v>0</v>
      </c>
      <c r="AQ39" s="48">
        <f>IFERROR(AP39/AO39,0)</f>
        <v>0</v>
      </c>
      <c r="AR39" s="42">
        <f t="shared" si="14"/>
        <v>11000</v>
      </c>
      <c r="AS39" s="43">
        <f t="shared" si="15"/>
        <v>0</v>
      </c>
      <c r="AT39" s="48">
        <f>IFERROR(AS39/AR39,0)</f>
        <v>0</v>
      </c>
    </row>
    <row r="40" spans="2:46" ht="22.25" customHeight="1" x14ac:dyDescent="0.2">
      <c r="B40" s="109" t="s">
        <v>57</v>
      </c>
      <c r="C40" s="44"/>
      <c r="D40" s="42">
        <v>0</v>
      </c>
      <c r="E40" s="43"/>
      <c r="F40" s="42">
        <v>0</v>
      </c>
      <c r="G40" s="43"/>
      <c r="H40" s="42">
        <v>0</v>
      </c>
      <c r="I40" s="43"/>
      <c r="J40" s="42">
        <v>0</v>
      </c>
      <c r="K40" s="43"/>
      <c r="L40" s="42">
        <v>0</v>
      </c>
      <c r="M40" s="43"/>
      <c r="N40" s="42">
        <v>0</v>
      </c>
      <c r="O40" s="43"/>
      <c r="P40" s="42">
        <v>0</v>
      </c>
      <c r="Q40" s="43"/>
      <c r="R40" s="42">
        <v>0</v>
      </c>
      <c r="S40" s="43"/>
      <c r="T40" s="42">
        <v>0</v>
      </c>
      <c r="U40" s="43"/>
      <c r="V40" s="42">
        <v>0</v>
      </c>
      <c r="W40" s="43"/>
      <c r="X40" s="42">
        <v>0</v>
      </c>
      <c r="Y40" s="43"/>
      <c r="Z40" s="42">
        <v>0</v>
      </c>
      <c r="AA40" s="43"/>
      <c r="AB40" s="48">
        <f>IFERROR(AA40/Z40,0)</f>
        <v>0</v>
      </c>
      <c r="AC40" s="119"/>
      <c r="AF40" s="42">
        <f t="shared" si="31"/>
        <v>0</v>
      </c>
      <c r="AG40" s="120">
        <f t="shared" si="31"/>
        <v>0</v>
      </c>
      <c r="AH40" s="48">
        <f>IFERROR(AG40/AF40,0)</f>
        <v>0</v>
      </c>
      <c r="AI40" s="42">
        <f t="shared" si="32"/>
        <v>0</v>
      </c>
      <c r="AJ40" s="121">
        <f t="shared" si="32"/>
        <v>0</v>
      </c>
      <c r="AK40" s="48">
        <f>IFERROR(AJ40/AI40,0)</f>
        <v>0</v>
      </c>
      <c r="AL40" s="42">
        <f t="shared" si="33"/>
        <v>0</v>
      </c>
      <c r="AM40" s="121">
        <f t="shared" si="33"/>
        <v>0</v>
      </c>
      <c r="AN40" s="48">
        <f>IFERROR(AM40/AL40,0)</f>
        <v>0</v>
      </c>
      <c r="AO40" s="42">
        <f t="shared" si="34"/>
        <v>0</v>
      </c>
      <c r="AP40" s="43">
        <f t="shared" si="34"/>
        <v>0</v>
      </c>
      <c r="AQ40" s="48">
        <f>IFERROR(AP40/AO40,0)</f>
        <v>0</v>
      </c>
      <c r="AR40" s="42">
        <f t="shared" si="14"/>
        <v>0</v>
      </c>
      <c r="AS40" s="43">
        <f t="shared" si="15"/>
        <v>0</v>
      </c>
      <c r="AT40" s="48">
        <f>IFERROR(AS40/AR40,0)</f>
        <v>0</v>
      </c>
    </row>
    <row r="41" spans="2:46" ht="22.25" customHeight="1" x14ac:dyDescent="0.2">
      <c r="B41" s="109" t="s">
        <v>58</v>
      </c>
      <c r="C41" s="44"/>
      <c r="D41" s="42">
        <v>500</v>
      </c>
      <c r="E41" s="43"/>
      <c r="F41" s="42">
        <v>500</v>
      </c>
      <c r="G41" s="43"/>
      <c r="H41" s="42">
        <v>500</v>
      </c>
      <c r="I41" s="43"/>
      <c r="J41" s="42">
        <v>500</v>
      </c>
      <c r="K41" s="43"/>
      <c r="L41" s="42">
        <v>500</v>
      </c>
      <c r="M41" s="43"/>
      <c r="N41" s="42">
        <v>500</v>
      </c>
      <c r="O41" s="43"/>
      <c r="P41" s="42">
        <v>500</v>
      </c>
      <c r="Q41" s="43"/>
      <c r="R41" s="42">
        <v>500</v>
      </c>
      <c r="S41" s="43"/>
      <c r="T41" s="42">
        <v>500</v>
      </c>
      <c r="U41" s="43"/>
      <c r="V41" s="42">
        <v>500</v>
      </c>
      <c r="W41" s="43"/>
      <c r="X41" s="42">
        <v>500</v>
      </c>
      <c r="Y41" s="43"/>
      <c r="Z41" s="42">
        <v>500</v>
      </c>
      <c r="AA41" s="43"/>
      <c r="AB41" s="48">
        <f>IFERROR(AA41/Z41,0)</f>
        <v>0</v>
      </c>
      <c r="AC41" s="119"/>
      <c r="AF41" s="42">
        <f t="shared" si="31"/>
        <v>1500</v>
      </c>
      <c r="AG41" s="120">
        <f t="shared" si="31"/>
        <v>0</v>
      </c>
      <c r="AH41" s="48">
        <f>IFERROR(AG41/AF41,0)</f>
        <v>0</v>
      </c>
      <c r="AI41" s="42">
        <f t="shared" si="32"/>
        <v>1500</v>
      </c>
      <c r="AJ41" s="121">
        <f t="shared" si="32"/>
        <v>0</v>
      </c>
      <c r="AK41" s="48">
        <f>IFERROR(AJ41/AI41,0)</f>
        <v>0</v>
      </c>
      <c r="AL41" s="42">
        <f t="shared" si="33"/>
        <v>1500</v>
      </c>
      <c r="AM41" s="121">
        <f t="shared" si="33"/>
        <v>0</v>
      </c>
      <c r="AN41" s="48">
        <f>IFERROR(AM41/AL41,0)</f>
        <v>0</v>
      </c>
      <c r="AO41" s="42">
        <f t="shared" si="34"/>
        <v>1500</v>
      </c>
      <c r="AP41" s="43">
        <f t="shared" si="34"/>
        <v>0</v>
      </c>
      <c r="AQ41" s="48">
        <f>IFERROR(AP41/AO41,0)</f>
        <v>0</v>
      </c>
      <c r="AR41" s="42">
        <f t="shared" si="14"/>
        <v>6000</v>
      </c>
      <c r="AS41" s="43">
        <f t="shared" si="15"/>
        <v>0</v>
      </c>
      <c r="AT41" s="48">
        <f>IFERROR(AS41/AR41,0)</f>
        <v>0</v>
      </c>
    </row>
    <row r="42" spans="2:46" ht="22.25" customHeight="1" x14ac:dyDescent="0.2">
      <c r="B42" s="109" t="s">
        <v>59</v>
      </c>
      <c r="C42" s="44"/>
      <c r="D42" s="42">
        <v>200</v>
      </c>
      <c r="E42" s="43"/>
      <c r="F42" s="42">
        <v>200</v>
      </c>
      <c r="G42" s="43"/>
      <c r="H42" s="42">
        <v>200</v>
      </c>
      <c r="I42" s="43"/>
      <c r="J42" s="42">
        <v>200</v>
      </c>
      <c r="K42" s="43"/>
      <c r="L42" s="42">
        <v>200</v>
      </c>
      <c r="M42" s="43"/>
      <c r="N42" s="42">
        <v>200</v>
      </c>
      <c r="O42" s="43"/>
      <c r="P42" s="42">
        <v>200</v>
      </c>
      <c r="Q42" s="43"/>
      <c r="R42" s="42">
        <v>200</v>
      </c>
      <c r="S42" s="43"/>
      <c r="T42" s="42">
        <v>200</v>
      </c>
      <c r="U42" s="43"/>
      <c r="V42" s="42">
        <v>200</v>
      </c>
      <c r="W42" s="43"/>
      <c r="X42" s="42">
        <v>200</v>
      </c>
      <c r="Y42" s="43"/>
      <c r="Z42" s="42">
        <v>200</v>
      </c>
      <c r="AA42" s="43"/>
      <c r="AB42" s="48">
        <f>IFERROR(AA42/Z42,0)</f>
        <v>0</v>
      </c>
      <c r="AC42" s="119"/>
      <c r="AF42" s="42">
        <f t="shared" si="31"/>
        <v>600</v>
      </c>
      <c r="AG42" s="120">
        <f t="shared" si="31"/>
        <v>0</v>
      </c>
      <c r="AH42" s="48">
        <f>IFERROR(AG42/AF42,0)</f>
        <v>0</v>
      </c>
      <c r="AI42" s="42">
        <f t="shared" si="32"/>
        <v>600</v>
      </c>
      <c r="AJ42" s="121">
        <f t="shared" si="32"/>
        <v>0</v>
      </c>
      <c r="AK42" s="48">
        <f>IFERROR(AJ42/AI42,0)</f>
        <v>0</v>
      </c>
      <c r="AL42" s="42">
        <f t="shared" si="33"/>
        <v>600</v>
      </c>
      <c r="AM42" s="121">
        <f t="shared" si="33"/>
        <v>0</v>
      </c>
      <c r="AN42" s="48">
        <f>IFERROR(AM42/AL42,0)</f>
        <v>0</v>
      </c>
      <c r="AO42" s="42">
        <f t="shared" si="34"/>
        <v>600</v>
      </c>
      <c r="AP42" s="43">
        <f t="shared" si="34"/>
        <v>0</v>
      </c>
      <c r="AQ42" s="48">
        <f>IFERROR(AP42/AO42,0)</f>
        <v>0</v>
      </c>
      <c r="AR42" s="42">
        <f t="shared" si="14"/>
        <v>2400</v>
      </c>
      <c r="AS42" s="43">
        <f t="shared" si="15"/>
        <v>0</v>
      </c>
      <c r="AT42" s="48">
        <f>IFERROR(AS42/AR42,0)</f>
        <v>0</v>
      </c>
    </row>
    <row r="43" spans="2:46" ht="22.25" customHeight="1" x14ac:dyDescent="0.2">
      <c r="B43" s="45"/>
      <c r="C43" s="44"/>
      <c r="D43" s="42"/>
      <c r="E43" s="43"/>
      <c r="F43" s="42"/>
      <c r="G43" s="43"/>
      <c r="H43" s="42"/>
      <c r="I43" s="43"/>
      <c r="J43" s="42"/>
      <c r="K43" s="43"/>
      <c r="L43" s="42"/>
      <c r="M43" s="43"/>
      <c r="N43" s="42"/>
      <c r="O43" s="43"/>
      <c r="P43" s="42"/>
      <c r="Q43" s="43"/>
      <c r="R43" s="42"/>
      <c r="S43" s="43"/>
      <c r="T43" s="42"/>
      <c r="U43" s="43"/>
      <c r="V43" s="42"/>
      <c r="W43" s="43"/>
      <c r="X43" s="42"/>
      <c r="Y43" s="43"/>
      <c r="Z43" s="42"/>
      <c r="AA43" s="43"/>
      <c r="AB43" s="49"/>
      <c r="AC43" s="119"/>
      <c r="AF43" s="42"/>
      <c r="AG43" s="120"/>
      <c r="AH43" s="49"/>
      <c r="AI43" s="42"/>
      <c r="AJ43" s="121"/>
      <c r="AK43" s="49"/>
      <c r="AL43" s="42"/>
      <c r="AM43" s="121"/>
      <c r="AN43" s="49"/>
      <c r="AO43" s="42"/>
      <c r="AP43" s="43"/>
      <c r="AQ43" s="49"/>
      <c r="AR43" s="42"/>
      <c r="AS43" s="43"/>
      <c r="AT43" s="49"/>
    </row>
    <row r="44" spans="2:46" ht="26" customHeight="1" x14ac:dyDescent="0.2">
      <c r="B44" s="116" t="s">
        <v>60</v>
      </c>
      <c r="C44" s="117" t="s">
        <v>30</v>
      </c>
      <c r="D44" s="111">
        <f t="shared" ref="D44:AA44" si="35">SUM(D45:D55)</f>
        <v>0</v>
      </c>
      <c r="E44" s="111">
        <f t="shared" si="35"/>
        <v>0</v>
      </c>
      <c r="F44" s="111">
        <f t="shared" si="35"/>
        <v>0</v>
      </c>
      <c r="G44" s="111">
        <f t="shared" si="35"/>
        <v>0</v>
      </c>
      <c r="H44" s="111">
        <f t="shared" si="35"/>
        <v>0</v>
      </c>
      <c r="I44" s="111">
        <f t="shared" si="35"/>
        <v>0</v>
      </c>
      <c r="J44" s="111">
        <f t="shared" si="35"/>
        <v>0</v>
      </c>
      <c r="K44" s="111">
        <f t="shared" si="35"/>
        <v>0</v>
      </c>
      <c r="L44" s="111">
        <f t="shared" si="35"/>
        <v>0</v>
      </c>
      <c r="M44" s="111">
        <f t="shared" si="35"/>
        <v>0</v>
      </c>
      <c r="N44" s="111">
        <f t="shared" si="35"/>
        <v>0</v>
      </c>
      <c r="O44" s="111">
        <f t="shared" si="35"/>
        <v>0</v>
      </c>
      <c r="P44" s="111">
        <f t="shared" si="35"/>
        <v>0</v>
      </c>
      <c r="Q44" s="111">
        <f t="shared" si="35"/>
        <v>0</v>
      </c>
      <c r="R44" s="111">
        <f t="shared" si="35"/>
        <v>0</v>
      </c>
      <c r="S44" s="111">
        <f t="shared" si="35"/>
        <v>0</v>
      </c>
      <c r="T44" s="111">
        <f t="shared" si="35"/>
        <v>0</v>
      </c>
      <c r="U44" s="111">
        <f t="shared" si="35"/>
        <v>0</v>
      </c>
      <c r="V44" s="111">
        <f t="shared" si="35"/>
        <v>0</v>
      </c>
      <c r="W44" s="111">
        <f t="shared" si="35"/>
        <v>0</v>
      </c>
      <c r="X44" s="111">
        <f t="shared" si="35"/>
        <v>0</v>
      </c>
      <c r="Y44" s="111">
        <f t="shared" si="35"/>
        <v>0</v>
      </c>
      <c r="Z44" s="111">
        <f t="shared" si="35"/>
        <v>0</v>
      </c>
      <c r="AA44" s="111">
        <f t="shared" si="35"/>
        <v>0</v>
      </c>
      <c r="AB44" s="50">
        <f>IFERROR(AA44/Z44,0)</f>
        <v>0</v>
      </c>
      <c r="AC44" s="118"/>
      <c r="AD44" s="8"/>
      <c r="AE44" s="8"/>
      <c r="AF44" s="41">
        <f>SUM(AF45:AF55)</f>
        <v>0</v>
      </c>
      <c r="AG44" s="41">
        <f>SUM(AG45:AG55)</f>
        <v>0</v>
      </c>
      <c r="AH44" s="50">
        <f>IFERROR(AG44/AF44,0)</f>
        <v>0</v>
      </c>
      <c r="AI44" s="41">
        <f>SUM(AI45:AI55)</f>
        <v>0</v>
      </c>
      <c r="AJ44" s="41">
        <f>SUM(AJ45:AJ55)</f>
        <v>0</v>
      </c>
      <c r="AK44" s="50">
        <f>IFERROR(AJ44/AI44,0)</f>
        <v>0</v>
      </c>
      <c r="AL44" s="41">
        <f>SUM(AL45:AL55)</f>
        <v>0</v>
      </c>
      <c r="AM44" s="41">
        <f>SUM(AM45:AM55)</f>
        <v>0</v>
      </c>
      <c r="AN44" s="50">
        <f>IFERROR(AM44/AL44,0)</f>
        <v>0</v>
      </c>
      <c r="AO44" s="41">
        <f>SUM(AO45:AO55)</f>
        <v>0</v>
      </c>
      <c r="AP44" s="41">
        <f>SUM(AP45:AP55)</f>
        <v>0</v>
      </c>
      <c r="AQ44" s="50">
        <f>IFERROR(AP44/AO44,0)</f>
        <v>0</v>
      </c>
      <c r="AR44" s="41">
        <f>SUM(AR45:AR55)</f>
        <v>0</v>
      </c>
      <c r="AS44" s="41">
        <f>SUM(AS45:AS55)</f>
        <v>0</v>
      </c>
      <c r="AT44" s="50">
        <f>IFERROR(AS44/AR44,0)</f>
        <v>0</v>
      </c>
    </row>
    <row r="45" spans="2:46" ht="22.25" customHeight="1" x14ac:dyDescent="0.2">
      <c r="B45" s="109" t="s">
        <v>61</v>
      </c>
      <c r="C45" s="44"/>
      <c r="D45" s="42">
        <v>0</v>
      </c>
      <c r="E45" s="43"/>
      <c r="F45" s="42">
        <v>0</v>
      </c>
      <c r="G45" s="43"/>
      <c r="H45" s="42">
        <v>0</v>
      </c>
      <c r="I45" s="43"/>
      <c r="J45" s="42">
        <v>0</v>
      </c>
      <c r="K45" s="43"/>
      <c r="L45" s="42">
        <v>0</v>
      </c>
      <c r="M45" s="43"/>
      <c r="N45" s="42">
        <v>0</v>
      </c>
      <c r="O45" s="43"/>
      <c r="P45" s="42">
        <v>0</v>
      </c>
      <c r="Q45" s="43"/>
      <c r="R45" s="42">
        <v>0</v>
      </c>
      <c r="S45" s="43"/>
      <c r="T45" s="42">
        <v>0</v>
      </c>
      <c r="U45" s="43"/>
      <c r="V45" s="42">
        <v>0</v>
      </c>
      <c r="W45" s="43"/>
      <c r="X45" s="42">
        <v>0</v>
      </c>
      <c r="Y45" s="43"/>
      <c r="Z45" s="42">
        <v>0</v>
      </c>
      <c r="AA45" s="43"/>
      <c r="AB45" s="48">
        <f>IFERROR(AA45/Z45,0)</f>
        <v>0</v>
      </c>
      <c r="AC45" s="207"/>
      <c r="AF45" s="42">
        <f t="shared" ref="AF45:AF55" si="36">D45+F45+H45</f>
        <v>0</v>
      </c>
      <c r="AG45" s="120">
        <f t="shared" ref="AG45:AG55" si="37">E45+G45+I45</f>
        <v>0</v>
      </c>
      <c r="AH45" s="48">
        <f>IFERROR(AG45/AF45,0)</f>
        <v>0</v>
      </c>
      <c r="AI45" s="42">
        <f t="shared" ref="AI45:AI55" si="38">J45+L45+N45</f>
        <v>0</v>
      </c>
      <c r="AJ45" s="121">
        <f t="shared" ref="AJ45:AJ55" si="39">K45+M45+O45</f>
        <v>0</v>
      </c>
      <c r="AK45" s="48">
        <f>IFERROR(AJ45/AI45,0)</f>
        <v>0</v>
      </c>
      <c r="AL45" s="42">
        <f t="shared" ref="AL45:AL55" si="40">P45+R45+T45</f>
        <v>0</v>
      </c>
      <c r="AM45" s="121">
        <f t="shared" ref="AM45:AM55" si="41">Q45+S45+U45</f>
        <v>0</v>
      </c>
      <c r="AN45" s="48">
        <f>IFERROR(AM45/AL45,0)</f>
        <v>0</v>
      </c>
      <c r="AO45" s="42">
        <f t="shared" ref="AO45:AO55" si="42">V45+X45+Z45</f>
        <v>0</v>
      </c>
      <c r="AP45" s="43">
        <f t="shared" ref="AP45:AP55" si="43">W45+Y45+AA45</f>
        <v>0</v>
      </c>
      <c r="AQ45" s="48">
        <f>IFERROR(AP45/AO45,0)</f>
        <v>0</v>
      </c>
      <c r="AR45" s="42">
        <f t="shared" si="14"/>
        <v>0</v>
      </c>
      <c r="AS45" s="43">
        <f t="shared" si="15"/>
        <v>0</v>
      </c>
      <c r="AT45" s="48">
        <f>IFERROR(AS45/AR45,0)</f>
        <v>0</v>
      </c>
    </row>
    <row r="46" spans="2:46" ht="22.25" customHeight="1" x14ac:dyDescent="0.2">
      <c r="B46" s="109" t="s">
        <v>62</v>
      </c>
      <c r="C46" s="44"/>
      <c r="D46" s="42">
        <v>0</v>
      </c>
      <c r="E46" s="43"/>
      <c r="F46" s="42">
        <v>0</v>
      </c>
      <c r="G46" s="43"/>
      <c r="H46" s="42">
        <v>0</v>
      </c>
      <c r="I46" s="43"/>
      <c r="J46" s="42">
        <v>0</v>
      </c>
      <c r="K46" s="43"/>
      <c r="L46" s="42">
        <v>0</v>
      </c>
      <c r="M46" s="43"/>
      <c r="N46" s="42">
        <v>0</v>
      </c>
      <c r="O46" s="43"/>
      <c r="P46" s="42">
        <v>0</v>
      </c>
      <c r="Q46" s="43"/>
      <c r="R46" s="42">
        <v>0</v>
      </c>
      <c r="S46" s="43"/>
      <c r="T46" s="42">
        <v>0</v>
      </c>
      <c r="U46" s="43"/>
      <c r="V46" s="42">
        <v>0</v>
      </c>
      <c r="W46" s="43"/>
      <c r="X46" s="42">
        <v>0</v>
      </c>
      <c r="Y46" s="43"/>
      <c r="Z46" s="42">
        <v>0</v>
      </c>
      <c r="AA46" s="43"/>
      <c r="AB46" s="48">
        <f t="shared" ref="AB46:AB55" si="44">IFERROR(AA46/Z46,0)</f>
        <v>0</v>
      </c>
      <c r="AC46" s="208"/>
      <c r="AF46" s="42">
        <f t="shared" si="36"/>
        <v>0</v>
      </c>
      <c r="AG46" s="120">
        <f t="shared" si="37"/>
        <v>0</v>
      </c>
      <c r="AH46" s="48">
        <f t="shared" ref="AH46:AH55" si="45">IFERROR(AG46/AF46,0)</f>
        <v>0</v>
      </c>
      <c r="AI46" s="42">
        <f t="shared" si="38"/>
        <v>0</v>
      </c>
      <c r="AJ46" s="121">
        <f t="shared" si="39"/>
        <v>0</v>
      </c>
      <c r="AK46" s="48">
        <f t="shared" ref="AK46:AK55" si="46">IFERROR(AJ46/AI46,0)</f>
        <v>0</v>
      </c>
      <c r="AL46" s="42">
        <f t="shared" si="40"/>
        <v>0</v>
      </c>
      <c r="AM46" s="121">
        <f t="shared" si="41"/>
        <v>0</v>
      </c>
      <c r="AN46" s="48">
        <f t="shared" ref="AN46:AN55" si="47">IFERROR(AM46/AL46,0)</f>
        <v>0</v>
      </c>
      <c r="AO46" s="42">
        <f t="shared" si="42"/>
        <v>0</v>
      </c>
      <c r="AP46" s="43">
        <f t="shared" si="43"/>
        <v>0</v>
      </c>
      <c r="AQ46" s="48">
        <f t="shared" ref="AQ46:AQ55" si="48">IFERROR(AP46/AO46,0)</f>
        <v>0</v>
      </c>
      <c r="AR46" s="42">
        <f t="shared" si="14"/>
        <v>0</v>
      </c>
      <c r="AS46" s="43">
        <f t="shared" si="15"/>
        <v>0</v>
      </c>
      <c r="AT46" s="48">
        <f t="shared" ref="AT46:AT55" si="49">IFERROR(AS46/AR46,0)</f>
        <v>0</v>
      </c>
    </row>
    <row r="47" spans="2:46" ht="22.25" customHeight="1" x14ac:dyDescent="0.2">
      <c r="B47" s="109" t="s">
        <v>63</v>
      </c>
      <c r="C47" s="44"/>
      <c r="D47" s="42">
        <v>0</v>
      </c>
      <c r="E47" s="43"/>
      <c r="F47" s="42">
        <v>0</v>
      </c>
      <c r="G47" s="43"/>
      <c r="H47" s="42">
        <v>0</v>
      </c>
      <c r="I47" s="43"/>
      <c r="J47" s="42">
        <v>0</v>
      </c>
      <c r="K47" s="43"/>
      <c r="L47" s="42">
        <v>0</v>
      </c>
      <c r="M47" s="43"/>
      <c r="N47" s="42">
        <v>0</v>
      </c>
      <c r="O47" s="43"/>
      <c r="P47" s="42">
        <v>0</v>
      </c>
      <c r="Q47" s="43"/>
      <c r="R47" s="42">
        <v>0</v>
      </c>
      <c r="S47" s="43"/>
      <c r="T47" s="42">
        <v>0</v>
      </c>
      <c r="U47" s="43"/>
      <c r="V47" s="42">
        <v>0</v>
      </c>
      <c r="W47" s="43"/>
      <c r="X47" s="42">
        <v>0</v>
      </c>
      <c r="Y47" s="43"/>
      <c r="Z47" s="42">
        <v>0</v>
      </c>
      <c r="AA47" s="43"/>
      <c r="AB47" s="48">
        <f t="shared" si="44"/>
        <v>0</v>
      </c>
      <c r="AC47" s="208"/>
      <c r="AF47" s="42">
        <f t="shared" si="36"/>
        <v>0</v>
      </c>
      <c r="AG47" s="120">
        <f t="shared" si="37"/>
        <v>0</v>
      </c>
      <c r="AH47" s="48">
        <f t="shared" si="45"/>
        <v>0</v>
      </c>
      <c r="AI47" s="42">
        <f t="shared" si="38"/>
        <v>0</v>
      </c>
      <c r="AJ47" s="121">
        <f t="shared" si="39"/>
        <v>0</v>
      </c>
      <c r="AK47" s="48">
        <f t="shared" si="46"/>
        <v>0</v>
      </c>
      <c r="AL47" s="42">
        <f t="shared" si="40"/>
        <v>0</v>
      </c>
      <c r="AM47" s="121">
        <f t="shared" si="41"/>
        <v>0</v>
      </c>
      <c r="AN47" s="48">
        <f t="shared" si="47"/>
        <v>0</v>
      </c>
      <c r="AO47" s="42">
        <f t="shared" si="42"/>
        <v>0</v>
      </c>
      <c r="AP47" s="43">
        <f t="shared" si="43"/>
        <v>0</v>
      </c>
      <c r="AQ47" s="48">
        <f t="shared" si="48"/>
        <v>0</v>
      </c>
      <c r="AR47" s="42">
        <f t="shared" si="14"/>
        <v>0</v>
      </c>
      <c r="AS47" s="43">
        <f t="shared" si="15"/>
        <v>0</v>
      </c>
      <c r="AT47" s="48">
        <f t="shared" si="49"/>
        <v>0</v>
      </c>
    </row>
    <row r="48" spans="2:46" ht="22.25" customHeight="1" x14ac:dyDescent="0.2">
      <c r="B48" s="109" t="s">
        <v>64</v>
      </c>
      <c r="C48" s="44"/>
      <c r="D48" s="42">
        <v>0</v>
      </c>
      <c r="E48" s="43"/>
      <c r="F48" s="42">
        <v>0</v>
      </c>
      <c r="G48" s="43"/>
      <c r="H48" s="42">
        <v>0</v>
      </c>
      <c r="I48" s="43"/>
      <c r="J48" s="42">
        <v>0</v>
      </c>
      <c r="K48" s="43"/>
      <c r="L48" s="42">
        <v>0</v>
      </c>
      <c r="M48" s="43"/>
      <c r="N48" s="42">
        <v>0</v>
      </c>
      <c r="O48" s="43"/>
      <c r="P48" s="42">
        <v>0</v>
      </c>
      <c r="Q48" s="43"/>
      <c r="R48" s="42">
        <v>0</v>
      </c>
      <c r="S48" s="43"/>
      <c r="T48" s="42">
        <v>0</v>
      </c>
      <c r="U48" s="43"/>
      <c r="V48" s="42">
        <v>0</v>
      </c>
      <c r="W48" s="43"/>
      <c r="X48" s="42">
        <v>0</v>
      </c>
      <c r="Y48" s="43"/>
      <c r="Z48" s="42">
        <v>0</v>
      </c>
      <c r="AA48" s="43"/>
      <c r="AB48" s="48">
        <f t="shared" si="44"/>
        <v>0</v>
      </c>
      <c r="AC48" s="208"/>
      <c r="AF48" s="42">
        <f t="shared" si="36"/>
        <v>0</v>
      </c>
      <c r="AG48" s="120">
        <f t="shared" si="37"/>
        <v>0</v>
      </c>
      <c r="AH48" s="48">
        <f t="shared" si="45"/>
        <v>0</v>
      </c>
      <c r="AI48" s="42">
        <f t="shared" si="38"/>
        <v>0</v>
      </c>
      <c r="AJ48" s="121">
        <f t="shared" si="39"/>
        <v>0</v>
      </c>
      <c r="AK48" s="48">
        <f t="shared" si="46"/>
        <v>0</v>
      </c>
      <c r="AL48" s="42">
        <f t="shared" si="40"/>
        <v>0</v>
      </c>
      <c r="AM48" s="121">
        <f t="shared" si="41"/>
        <v>0</v>
      </c>
      <c r="AN48" s="48">
        <f t="shared" si="47"/>
        <v>0</v>
      </c>
      <c r="AO48" s="42">
        <f t="shared" si="42"/>
        <v>0</v>
      </c>
      <c r="AP48" s="43">
        <f t="shared" si="43"/>
        <v>0</v>
      </c>
      <c r="AQ48" s="48">
        <f t="shared" si="48"/>
        <v>0</v>
      </c>
      <c r="AR48" s="42">
        <f t="shared" si="14"/>
        <v>0</v>
      </c>
      <c r="AS48" s="43">
        <f t="shared" si="15"/>
        <v>0</v>
      </c>
      <c r="AT48" s="48">
        <f t="shared" si="49"/>
        <v>0</v>
      </c>
    </row>
    <row r="49" spans="2:46" ht="22.25" customHeight="1" x14ac:dyDescent="0.2">
      <c r="B49" s="109" t="s">
        <v>65</v>
      </c>
      <c r="C49" s="44"/>
      <c r="D49" s="42">
        <v>0</v>
      </c>
      <c r="E49" s="43"/>
      <c r="F49" s="42">
        <v>0</v>
      </c>
      <c r="G49" s="43"/>
      <c r="H49" s="42">
        <v>0</v>
      </c>
      <c r="I49" s="43"/>
      <c r="J49" s="42">
        <v>0</v>
      </c>
      <c r="K49" s="43"/>
      <c r="L49" s="42">
        <v>0</v>
      </c>
      <c r="M49" s="43"/>
      <c r="N49" s="42">
        <v>0</v>
      </c>
      <c r="O49" s="43"/>
      <c r="P49" s="42">
        <v>0</v>
      </c>
      <c r="Q49" s="43"/>
      <c r="R49" s="42">
        <v>0</v>
      </c>
      <c r="S49" s="43"/>
      <c r="T49" s="42">
        <v>0</v>
      </c>
      <c r="U49" s="43"/>
      <c r="V49" s="42">
        <v>0</v>
      </c>
      <c r="W49" s="43"/>
      <c r="X49" s="42">
        <v>0</v>
      </c>
      <c r="Y49" s="43"/>
      <c r="Z49" s="42">
        <v>0</v>
      </c>
      <c r="AA49" s="43"/>
      <c r="AB49" s="48">
        <f t="shared" si="44"/>
        <v>0</v>
      </c>
      <c r="AC49" s="208"/>
      <c r="AF49" s="42">
        <f t="shared" si="36"/>
        <v>0</v>
      </c>
      <c r="AG49" s="120">
        <f t="shared" si="37"/>
        <v>0</v>
      </c>
      <c r="AH49" s="48">
        <f t="shared" si="45"/>
        <v>0</v>
      </c>
      <c r="AI49" s="42">
        <f t="shared" si="38"/>
        <v>0</v>
      </c>
      <c r="AJ49" s="121">
        <f t="shared" si="39"/>
        <v>0</v>
      </c>
      <c r="AK49" s="48">
        <f t="shared" si="46"/>
        <v>0</v>
      </c>
      <c r="AL49" s="42">
        <f t="shared" si="40"/>
        <v>0</v>
      </c>
      <c r="AM49" s="121">
        <f t="shared" si="41"/>
        <v>0</v>
      </c>
      <c r="AN49" s="48">
        <f t="shared" si="47"/>
        <v>0</v>
      </c>
      <c r="AO49" s="42">
        <f t="shared" si="42"/>
        <v>0</v>
      </c>
      <c r="AP49" s="43">
        <f t="shared" si="43"/>
        <v>0</v>
      </c>
      <c r="AQ49" s="48">
        <f t="shared" si="48"/>
        <v>0</v>
      </c>
      <c r="AR49" s="42">
        <f t="shared" si="14"/>
        <v>0</v>
      </c>
      <c r="AS49" s="43">
        <f t="shared" si="15"/>
        <v>0</v>
      </c>
      <c r="AT49" s="48">
        <f t="shared" si="49"/>
        <v>0</v>
      </c>
    </row>
    <row r="50" spans="2:46" ht="22.25" customHeight="1" x14ac:dyDescent="0.2">
      <c r="B50" s="109" t="s">
        <v>66</v>
      </c>
      <c r="C50" s="44"/>
      <c r="D50" s="42">
        <v>0</v>
      </c>
      <c r="E50" s="43"/>
      <c r="F50" s="42">
        <v>0</v>
      </c>
      <c r="G50" s="43"/>
      <c r="H50" s="42">
        <v>0</v>
      </c>
      <c r="I50" s="43"/>
      <c r="J50" s="42">
        <v>0</v>
      </c>
      <c r="K50" s="43"/>
      <c r="L50" s="42">
        <v>0</v>
      </c>
      <c r="M50" s="43"/>
      <c r="N50" s="42">
        <v>0</v>
      </c>
      <c r="O50" s="43"/>
      <c r="P50" s="42">
        <v>0</v>
      </c>
      <c r="Q50" s="43"/>
      <c r="R50" s="42">
        <v>0</v>
      </c>
      <c r="S50" s="43"/>
      <c r="T50" s="42">
        <v>0</v>
      </c>
      <c r="U50" s="43"/>
      <c r="V50" s="42">
        <v>0</v>
      </c>
      <c r="W50" s="43"/>
      <c r="X50" s="42">
        <v>0</v>
      </c>
      <c r="Y50" s="43"/>
      <c r="Z50" s="42">
        <v>0</v>
      </c>
      <c r="AA50" s="43"/>
      <c r="AB50" s="48">
        <f t="shared" si="44"/>
        <v>0</v>
      </c>
      <c r="AC50" s="208"/>
      <c r="AE50" s="9"/>
      <c r="AF50" s="42">
        <f t="shared" si="36"/>
        <v>0</v>
      </c>
      <c r="AG50" s="120">
        <f t="shared" si="37"/>
        <v>0</v>
      </c>
      <c r="AH50" s="48">
        <f t="shared" si="45"/>
        <v>0</v>
      </c>
      <c r="AI50" s="42">
        <f t="shared" si="38"/>
        <v>0</v>
      </c>
      <c r="AJ50" s="121">
        <f t="shared" si="39"/>
        <v>0</v>
      </c>
      <c r="AK50" s="48">
        <f t="shared" si="46"/>
        <v>0</v>
      </c>
      <c r="AL50" s="42">
        <f t="shared" si="40"/>
        <v>0</v>
      </c>
      <c r="AM50" s="121">
        <f t="shared" si="41"/>
        <v>0</v>
      </c>
      <c r="AN50" s="48">
        <f t="shared" si="47"/>
        <v>0</v>
      </c>
      <c r="AO50" s="42">
        <f t="shared" si="42"/>
        <v>0</v>
      </c>
      <c r="AP50" s="43">
        <f t="shared" si="43"/>
        <v>0</v>
      </c>
      <c r="AQ50" s="48">
        <f t="shared" si="48"/>
        <v>0</v>
      </c>
      <c r="AR50" s="42">
        <f t="shared" si="14"/>
        <v>0</v>
      </c>
      <c r="AS50" s="43">
        <f t="shared" si="15"/>
        <v>0</v>
      </c>
      <c r="AT50" s="48">
        <f t="shared" si="49"/>
        <v>0</v>
      </c>
    </row>
    <row r="51" spans="2:46" ht="22.25" customHeight="1" x14ac:dyDescent="0.2">
      <c r="B51" s="109" t="s">
        <v>67</v>
      </c>
      <c r="C51" s="44"/>
      <c r="D51" s="42">
        <v>0</v>
      </c>
      <c r="E51" s="43"/>
      <c r="F51" s="42">
        <v>0</v>
      </c>
      <c r="G51" s="43"/>
      <c r="H51" s="42">
        <v>0</v>
      </c>
      <c r="I51" s="43"/>
      <c r="J51" s="42">
        <v>0</v>
      </c>
      <c r="K51" s="43"/>
      <c r="L51" s="42">
        <v>0</v>
      </c>
      <c r="M51" s="43"/>
      <c r="N51" s="42">
        <v>0</v>
      </c>
      <c r="O51" s="43"/>
      <c r="P51" s="42">
        <v>0</v>
      </c>
      <c r="Q51" s="43"/>
      <c r="R51" s="42">
        <v>0</v>
      </c>
      <c r="S51" s="43"/>
      <c r="T51" s="42">
        <v>0</v>
      </c>
      <c r="U51" s="43"/>
      <c r="V51" s="42">
        <v>0</v>
      </c>
      <c r="W51" s="43"/>
      <c r="X51" s="42">
        <v>0</v>
      </c>
      <c r="Y51" s="43"/>
      <c r="Z51" s="42">
        <v>0</v>
      </c>
      <c r="AA51" s="43"/>
      <c r="AB51" s="48">
        <f t="shared" si="44"/>
        <v>0</v>
      </c>
      <c r="AC51" s="208"/>
      <c r="AE51" s="9"/>
      <c r="AF51" s="42">
        <f t="shared" si="36"/>
        <v>0</v>
      </c>
      <c r="AG51" s="120">
        <f t="shared" si="37"/>
        <v>0</v>
      </c>
      <c r="AH51" s="48">
        <f t="shared" si="45"/>
        <v>0</v>
      </c>
      <c r="AI51" s="42">
        <f t="shared" si="38"/>
        <v>0</v>
      </c>
      <c r="AJ51" s="121">
        <f t="shared" si="39"/>
        <v>0</v>
      </c>
      <c r="AK51" s="48">
        <f t="shared" si="46"/>
        <v>0</v>
      </c>
      <c r="AL51" s="42">
        <f t="shared" si="40"/>
        <v>0</v>
      </c>
      <c r="AM51" s="121">
        <f t="shared" si="41"/>
        <v>0</v>
      </c>
      <c r="AN51" s="48">
        <f t="shared" si="47"/>
        <v>0</v>
      </c>
      <c r="AO51" s="42">
        <f t="shared" si="42"/>
        <v>0</v>
      </c>
      <c r="AP51" s="43">
        <f t="shared" si="43"/>
        <v>0</v>
      </c>
      <c r="AQ51" s="48">
        <f t="shared" si="48"/>
        <v>0</v>
      </c>
      <c r="AR51" s="42">
        <f t="shared" si="14"/>
        <v>0</v>
      </c>
      <c r="AS51" s="43">
        <f t="shared" si="15"/>
        <v>0</v>
      </c>
      <c r="AT51" s="48">
        <f t="shared" si="49"/>
        <v>0</v>
      </c>
    </row>
    <row r="52" spans="2:46" ht="22.25" customHeight="1" x14ac:dyDescent="0.2">
      <c r="B52" s="109" t="s">
        <v>68</v>
      </c>
      <c r="C52" s="44"/>
      <c r="D52" s="42">
        <v>0</v>
      </c>
      <c r="E52" s="43"/>
      <c r="F52" s="42">
        <v>0</v>
      </c>
      <c r="G52" s="43"/>
      <c r="H52" s="42">
        <v>0</v>
      </c>
      <c r="I52" s="43"/>
      <c r="J52" s="42">
        <v>0</v>
      </c>
      <c r="K52" s="43"/>
      <c r="L52" s="42">
        <v>0</v>
      </c>
      <c r="M52" s="43"/>
      <c r="N52" s="42">
        <v>0</v>
      </c>
      <c r="O52" s="43"/>
      <c r="P52" s="42">
        <v>0</v>
      </c>
      <c r="Q52" s="43"/>
      <c r="R52" s="42">
        <v>0</v>
      </c>
      <c r="S52" s="43"/>
      <c r="T52" s="42">
        <v>0</v>
      </c>
      <c r="U52" s="43"/>
      <c r="V52" s="42">
        <v>0</v>
      </c>
      <c r="W52" s="43"/>
      <c r="X52" s="42">
        <v>0</v>
      </c>
      <c r="Y52" s="43"/>
      <c r="Z52" s="42">
        <v>0</v>
      </c>
      <c r="AA52" s="43"/>
      <c r="AB52" s="48">
        <f t="shared" si="44"/>
        <v>0</v>
      </c>
      <c r="AC52" s="208"/>
      <c r="AE52" s="9"/>
      <c r="AF52" s="42">
        <f t="shared" si="36"/>
        <v>0</v>
      </c>
      <c r="AG52" s="120">
        <f t="shared" si="37"/>
        <v>0</v>
      </c>
      <c r="AH52" s="48">
        <f>IFERROR(AG52/AF52,0)</f>
        <v>0</v>
      </c>
      <c r="AI52" s="42">
        <f t="shared" si="38"/>
        <v>0</v>
      </c>
      <c r="AJ52" s="121">
        <f t="shared" si="39"/>
        <v>0</v>
      </c>
      <c r="AK52" s="48">
        <f>IFERROR(AJ52/AI52,0)</f>
        <v>0</v>
      </c>
      <c r="AL52" s="42">
        <f t="shared" si="40"/>
        <v>0</v>
      </c>
      <c r="AM52" s="121">
        <f t="shared" si="41"/>
        <v>0</v>
      </c>
      <c r="AN52" s="48">
        <f>IFERROR(AM52/AL52,0)</f>
        <v>0</v>
      </c>
      <c r="AO52" s="42">
        <f t="shared" si="42"/>
        <v>0</v>
      </c>
      <c r="AP52" s="43">
        <f t="shared" si="43"/>
        <v>0</v>
      </c>
      <c r="AQ52" s="48">
        <f>IFERROR(AP52/AO52,0)</f>
        <v>0</v>
      </c>
      <c r="AR52" s="42">
        <f>AF52+AI52+AL52+AO52</f>
        <v>0</v>
      </c>
      <c r="AS52" s="43">
        <f>AG52+AJ52+AM52+AP52</f>
        <v>0</v>
      </c>
      <c r="AT52" s="48">
        <f>IFERROR(AS52/AR52,0)</f>
        <v>0</v>
      </c>
    </row>
    <row r="53" spans="2:46" ht="22.25" customHeight="1" x14ac:dyDescent="0.2">
      <c r="B53" s="109" t="s">
        <v>69</v>
      </c>
      <c r="C53" s="44"/>
      <c r="D53" s="42">
        <v>0</v>
      </c>
      <c r="E53" s="43"/>
      <c r="F53" s="42">
        <v>0</v>
      </c>
      <c r="G53" s="43"/>
      <c r="H53" s="42">
        <v>0</v>
      </c>
      <c r="I53" s="43"/>
      <c r="J53" s="42">
        <v>0</v>
      </c>
      <c r="K53" s="43"/>
      <c r="L53" s="42">
        <v>0</v>
      </c>
      <c r="M53" s="43"/>
      <c r="N53" s="42">
        <v>0</v>
      </c>
      <c r="O53" s="43"/>
      <c r="P53" s="42">
        <v>0</v>
      </c>
      <c r="Q53" s="43"/>
      <c r="R53" s="42">
        <v>0</v>
      </c>
      <c r="S53" s="43"/>
      <c r="T53" s="42">
        <v>0</v>
      </c>
      <c r="U53" s="43"/>
      <c r="V53" s="42">
        <v>0</v>
      </c>
      <c r="W53" s="43"/>
      <c r="X53" s="42">
        <v>0</v>
      </c>
      <c r="Y53" s="43"/>
      <c r="Z53" s="42">
        <v>0</v>
      </c>
      <c r="AA53" s="43"/>
      <c r="AB53" s="48">
        <f t="shared" si="44"/>
        <v>0</v>
      </c>
      <c r="AC53" s="208"/>
      <c r="AE53" s="9"/>
      <c r="AF53" s="42">
        <f t="shared" si="36"/>
        <v>0</v>
      </c>
      <c r="AG53" s="120">
        <f t="shared" si="37"/>
        <v>0</v>
      </c>
      <c r="AH53" s="48">
        <f t="shared" si="45"/>
        <v>0</v>
      </c>
      <c r="AI53" s="42">
        <f t="shared" si="38"/>
        <v>0</v>
      </c>
      <c r="AJ53" s="121">
        <f t="shared" si="39"/>
        <v>0</v>
      </c>
      <c r="AK53" s="48">
        <f t="shared" si="46"/>
        <v>0</v>
      </c>
      <c r="AL53" s="42">
        <f t="shared" si="40"/>
        <v>0</v>
      </c>
      <c r="AM53" s="121">
        <f t="shared" si="41"/>
        <v>0</v>
      </c>
      <c r="AN53" s="48">
        <f t="shared" si="47"/>
        <v>0</v>
      </c>
      <c r="AO53" s="42">
        <f t="shared" si="42"/>
        <v>0</v>
      </c>
      <c r="AP53" s="43">
        <f t="shared" si="43"/>
        <v>0</v>
      </c>
      <c r="AQ53" s="48">
        <f t="shared" si="48"/>
        <v>0</v>
      </c>
      <c r="AR53" s="42">
        <f t="shared" si="14"/>
        <v>0</v>
      </c>
      <c r="AS53" s="43">
        <f t="shared" si="15"/>
        <v>0</v>
      </c>
      <c r="AT53" s="48">
        <f t="shared" si="49"/>
        <v>0</v>
      </c>
    </row>
    <row r="54" spans="2:46" ht="22.25" customHeight="1" x14ac:dyDescent="0.2">
      <c r="B54" s="109" t="s">
        <v>70</v>
      </c>
      <c r="C54" s="44"/>
      <c r="D54" s="42">
        <v>0</v>
      </c>
      <c r="E54" s="43"/>
      <c r="F54" s="42">
        <v>0</v>
      </c>
      <c r="G54" s="43"/>
      <c r="H54" s="42">
        <v>0</v>
      </c>
      <c r="I54" s="43"/>
      <c r="J54" s="42">
        <v>0</v>
      </c>
      <c r="K54" s="43"/>
      <c r="L54" s="42">
        <v>0</v>
      </c>
      <c r="M54" s="43"/>
      <c r="N54" s="42">
        <v>0</v>
      </c>
      <c r="O54" s="43"/>
      <c r="P54" s="42">
        <v>0</v>
      </c>
      <c r="Q54" s="43"/>
      <c r="R54" s="42">
        <v>0</v>
      </c>
      <c r="S54" s="43"/>
      <c r="T54" s="42">
        <v>0</v>
      </c>
      <c r="U54" s="43"/>
      <c r="V54" s="42">
        <v>0</v>
      </c>
      <c r="W54" s="43"/>
      <c r="X54" s="42">
        <v>0</v>
      </c>
      <c r="Y54" s="43"/>
      <c r="Z54" s="42">
        <v>0</v>
      </c>
      <c r="AA54" s="43"/>
      <c r="AB54" s="48">
        <f t="shared" si="44"/>
        <v>0</v>
      </c>
      <c r="AC54" s="208"/>
      <c r="AE54" s="9"/>
      <c r="AF54" s="42">
        <f t="shared" si="36"/>
        <v>0</v>
      </c>
      <c r="AG54" s="120">
        <f t="shared" si="37"/>
        <v>0</v>
      </c>
      <c r="AH54" s="48">
        <f t="shared" si="45"/>
        <v>0</v>
      </c>
      <c r="AI54" s="42">
        <f t="shared" si="38"/>
        <v>0</v>
      </c>
      <c r="AJ54" s="121">
        <f t="shared" si="39"/>
        <v>0</v>
      </c>
      <c r="AK54" s="48">
        <f t="shared" si="46"/>
        <v>0</v>
      </c>
      <c r="AL54" s="42">
        <f t="shared" si="40"/>
        <v>0</v>
      </c>
      <c r="AM54" s="121">
        <f t="shared" si="41"/>
        <v>0</v>
      </c>
      <c r="AN54" s="48">
        <f t="shared" si="47"/>
        <v>0</v>
      </c>
      <c r="AO54" s="42">
        <f t="shared" si="42"/>
        <v>0</v>
      </c>
      <c r="AP54" s="43">
        <f t="shared" si="43"/>
        <v>0</v>
      </c>
      <c r="AQ54" s="48">
        <f t="shared" si="48"/>
        <v>0</v>
      </c>
      <c r="AR54" s="42">
        <f t="shared" si="14"/>
        <v>0</v>
      </c>
      <c r="AS54" s="43">
        <f t="shared" si="15"/>
        <v>0</v>
      </c>
      <c r="AT54" s="48">
        <f t="shared" si="49"/>
        <v>0</v>
      </c>
    </row>
    <row r="55" spans="2:46" ht="22.25" customHeight="1" x14ac:dyDescent="0.2">
      <c r="B55" s="109" t="s">
        <v>71</v>
      </c>
      <c r="C55" s="44"/>
      <c r="D55" s="42">
        <v>0</v>
      </c>
      <c r="E55" s="43"/>
      <c r="F55" s="42">
        <v>0</v>
      </c>
      <c r="G55" s="43"/>
      <c r="H55" s="42">
        <v>0</v>
      </c>
      <c r="I55" s="43"/>
      <c r="J55" s="42">
        <v>0</v>
      </c>
      <c r="K55" s="43"/>
      <c r="L55" s="42">
        <v>0</v>
      </c>
      <c r="M55" s="43"/>
      <c r="N55" s="42">
        <v>0</v>
      </c>
      <c r="O55" s="43"/>
      <c r="P55" s="42">
        <v>0</v>
      </c>
      <c r="Q55" s="43"/>
      <c r="R55" s="42">
        <v>0</v>
      </c>
      <c r="S55" s="43"/>
      <c r="T55" s="42">
        <v>0</v>
      </c>
      <c r="U55" s="43"/>
      <c r="V55" s="42">
        <v>0</v>
      </c>
      <c r="W55" s="43"/>
      <c r="X55" s="42">
        <v>0</v>
      </c>
      <c r="Y55" s="43"/>
      <c r="Z55" s="42">
        <v>0</v>
      </c>
      <c r="AA55" s="43"/>
      <c r="AB55" s="48">
        <f t="shared" si="44"/>
        <v>0</v>
      </c>
      <c r="AC55" s="209"/>
      <c r="AE55" s="9"/>
      <c r="AF55" s="42">
        <f t="shared" si="36"/>
        <v>0</v>
      </c>
      <c r="AG55" s="120">
        <f t="shared" si="37"/>
        <v>0</v>
      </c>
      <c r="AH55" s="48">
        <f t="shared" si="45"/>
        <v>0</v>
      </c>
      <c r="AI55" s="42">
        <f t="shared" si="38"/>
        <v>0</v>
      </c>
      <c r="AJ55" s="121">
        <f t="shared" si="39"/>
        <v>0</v>
      </c>
      <c r="AK55" s="48">
        <f t="shared" si="46"/>
        <v>0</v>
      </c>
      <c r="AL55" s="42">
        <f t="shared" si="40"/>
        <v>0</v>
      </c>
      <c r="AM55" s="121">
        <f t="shared" si="41"/>
        <v>0</v>
      </c>
      <c r="AN55" s="48">
        <f t="shared" si="47"/>
        <v>0</v>
      </c>
      <c r="AO55" s="42">
        <f t="shared" si="42"/>
        <v>0</v>
      </c>
      <c r="AP55" s="43">
        <f t="shared" si="43"/>
        <v>0</v>
      </c>
      <c r="AQ55" s="48">
        <f t="shared" si="48"/>
        <v>0</v>
      </c>
      <c r="AR55" s="42">
        <f t="shared" si="14"/>
        <v>0</v>
      </c>
      <c r="AS55" s="43">
        <f t="shared" si="15"/>
        <v>0</v>
      </c>
      <c r="AT55" s="48">
        <f t="shared" si="49"/>
        <v>0</v>
      </c>
    </row>
    <row r="56" spans="2:46" ht="22.25" customHeight="1" x14ac:dyDescent="0.2">
      <c r="B56" s="45"/>
      <c r="C56" s="44"/>
      <c r="D56" s="42"/>
      <c r="E56" s="43"/>
      <c r="F56" s="42"/>
      <c r="G56" s="43"/>
      <c r="H56" s="42"/>
      <c r="I56" s="43"/>
      <c r="J56" s="42"/>
      <c r="K56" s="43"/>
      <c r="L56" s="42"/>
      <c r="M56" s="43"/>
      <c r="N56" s="42"/>
      <c r="O56" s="43"/>
      <c r="P56" s="42"/>
      <c r="Q56" s="43"/>
      <c r="R56" s="42"/>
      <c r="S56" s="43"/>
      <c r="T56" s="42"/>
      <c r="U56" s="43"/>
      <c r="V56" s="42"/>
      <c r="W56" s="43"/>
      <c r="X56" s="42"/>
      <c r="Y56" s="43"/>
      <c r="Z56" s="42"/>
      <c r="AA56" s="43"/>
      <c r="AB56" s="49"/>
      <c r="AC56" s="119"/>
      <c r="AE56" s="9"/>
      <c r="AF56" s="42"/>
      <c r="AG56" s="120">
        <f>E56+G56+I56</f>
        <v>0</v>
      </c>
      <c r="AH56" s="49"/>
      <c r="AI56" s="42"/>
      <c r="AJ56" s="121"/>
      <c r="AK56" s="49"/>
      <c r="AL56" s="42"/>
      <c r="AM56" s="121"/>
      <c r="AN56" s="49"/>
      <c r="AO56" s="42"/>
      <c r="AP56" s="43"/>
      <c r="AQ56" s="49"/>
      <c r="AR56" s="42"/>
      <c r="AS56" s="43"/>
      <c r="AT56" s="49"/>
    </row>
    <row r="57" spans="2:46" ht="26" customHeight="1" x14ac:dyDescent="0.2">
      <c r="B57" s="116" t="s">
        <v>5</v>
      </c>
      <c r="C57" s="117" t="s">
        <v>30</v>
      </c>
      <c r="D57" s="111">
        <f t="shared" ref="D57:AA57" si="50">SUM(D58:D62)</f>
        <v>500</v>
      </c>
      <c r="E57" s="111">
        <f t="shared" si="50"/>
        <v>0</v>
      </c>
      <c r="F57" s="111">
        <f t="shared" si="50"/>
        <v>500</v>
      </c>
      <c r="G57" s="111">
        <f t="shared" si="50"/>
        <v>0</v>
      </c>
      <c r="H57" s="111">
        <f t="shared" si="50"/>
        <v>700</v>
      </c>
      <c r="I57" s="111">
        <f t="shared" si="50"/>
        <v>0</v>
      </c>
      <c r="J57" s="111">
        <f t="shared" si="50"/>
        <v>500</v>
      </c>
      <c r="K57" s="111">
        <f t="shared" si="50"/>
        <v>0</v>
      </c>
      <c r="L57" s="111">
        <f t="shared" si="50"/>
        <v>500</v>
      </c>
      <c r="M57" s="111">
        <f t="shared" si="50"/>
        <v>0</v>
      </c>
      <c r="N57" s="111">
        <f t="shared" si="50"/>
        <v>700</v>
      </c>
      <c r="O57" s="111">
        <f t="shared" si="50"/>
        <v>0</v>
      </c>
      <c r="P57" s="111">
        <f t="shared" si="50"/>
        <v>500</v>
      </c>
      <c r="Q57" s="111">
        <f t="shared" si="50"/>
        <v>0</v>
      </c>
      <c r="R57" s="111">
        <f t="shared" si="50"/>
        <v>1500</v>
      </c>
      <c r="S57" s="111">
        <f t="shared" si="50"/>
        <v>0</v>
      </c>
      <c r="T57" s="111">
        <f t="shared" si="50"/>
        <v>700</v>
      </c>
      <c r="U57" s="111">
        <f t="shared" si="50"/>
        <v>0</v>
      </c>
      <c r="V57" s="111">
        <f t="shared" si="50"/>
        <v>500</v>
      </c>
      <c r="W57" s="111">
        <f t="shared" si="50"/>
        <v>0</v>
      </c>
      <c r="X57" s="111">
        <f t="shared" si="50"/>
        <v>500</v>
      </c>
      <c r="Y57" s="111">
        <f t="shared" si="50"/>
        <v>0</v>
      </c>
      <c r="Z57" s="111">
        <f t="shared" si="50"/>
        <v>700</v>
      </c>
      <c r="AA57" s="111">
        <f t="shared" si="50"/>
        <v>0</v>
      </c>
      <c r="AB57" s="50">
        <f t="shared" ref="AB57:AB62" si="51">IFERROR(AA57/Z57,0)</f>
        <v>0</v>
      </c>
      <c r="AC57" s="118"/>
      <c r="AD57" s="8"/>
      <c r="AE57" s="9"/>
      <c r="AF57" s="41">
        <f>SUM(AF58:AF62)</f>
        <v>1700</v>
      </c>
      <c r="AG57" s="41">
        <f>SUM(AG58:AG62)</f>
        <v>0</v>
      </c>
      <c r="AH57" s="50">
        <f t="shared" ref="AH57:AH62" si="52">IFERROR(AG57/AF57,0)</f>
        <v>0</v>
      </c>
      <c r="AI57" s="41">
        <f>SUM(AI58:AI62)</f>
        <v>1700</v>
      </c>
      <c r="AJ57" s="41">
        <f>SUM(AJ58:AJ62)</f>
        <v>0</v>
      </c>
      <c r="AK57" s="50">
        <f t="shared" ref="AK57:AK62" si="53">IFERROR(AJ57/AI57,0)</f>
        <v>0</v>
      </c>
      <c r="AL57" s="41">
        <f>SUM(AL58:AL62)</f>
        <v>2700</v>
      </c>
      <c r="AM57" s="41">
        <f>SUM(AM58:AM62)</f>
        <v>0</v>
      </c>
      <c r="AN57" s="50">
        <f t="shared" ref="AN57:AN62" si="54">IFERROR(AM57/AL57,0)</f>
        <v>0</v>
      </c>
      <c r="AO57" s="41">
        <f>SUM(AO58:AO62)</f>
        <v>1700</v>
      </c>
      <c r="AP57" s="41">
        <f>SUM(AP58:AP62)</f>
        <v>0</v>
      </c>
      <c r="AQ57" s="50">
        <f t="shared" ref="AQ57:AQ62" si="55">IFERROR(AP57/AO57,0)</f>
        <v>0</v>
      </c>
      <c r="AR57" s="41">
        <f>SUM(AR58:AR62)</f>
        <v>7800</v>
      </c>
      <c r="AS57" s="41">
        <f>SUM(AS58:AS62)</f>
        <v>0</v>
      </c>
      <c r="AT57" s="50">
        <f t="shared" ref="AT57:AT62" si="56">IFERROR(AS57/AR57,0)</f>
        <v>0</v>
      </c>
    </row>
    <row r="58" spans="2:46" ht="22.25" customHeight="1" x14ac:dyDescent="0.2">
      <c r="B58" s="123" t="s">
        <v>119</v>
      </c>
      <c r="C58" s="124"/>
      <c r="D58" s="107">
        <v>0</v>
      </c>
      <c r="E58" s="43"/>
      <c r="F58" s="107">
        <v>0</v>
      </c>
      <c r="G58" s="43"/>
      <c r="H58" s="107">
        <v>0</v>
      </c>
      <c r="I58" s="43"/>
      <c r="J58" s="107">
        <v>0</v>
      </c>
      <c r="K58" s="43"/>
      <c r="L58" s="107">
        <v>0</v>
      </c>
      <c r="M58" s="43"/>
      <c r="N58" s="107">
        <v>0</v>
      </c>
      <c r="O58" s="43"/>
      <c r="P58" s="107">
        <v>0</v>
      </c>
      <c r="Q58" s="43"/>
      <c r="R58" s="107">
        <v>0</v>
      </c>
      <c r="S58" s="43"/>
      <c r="T58" s="107">
        <v>0</v>
      </c>
      <c r="U58" s="43"/>
      <c r="V58" s="107">
        <v>0</v>
      </c>
      <c r="W58" s="43"/>
      <c r="X58" s="107">
        <v>0</v>
      </c>
      <c r="Y58" s="43"/>
      <c r="Z58" s="107">
        <v>0</v>
      </c>
      <c r="AA58" s="43"/>
      <c r="AB58" s="48">
        <f t="shared" si="51"/>
        <v>0</v>
      </c>
      <c r="AC58" s="119"/>
      <c r="AE58" s="9"/>
      <c r="AF58" s="42">
        <f t="shared" ref="AF58:AG62" si="57">D58+F58+H58</f>
        <v>0</v>
      </c>
      <c r="AG58" s="120">
        <f t="shared" si="57"/>
        <v>0</v>
      </c>
      <c r="AH58" s="48">
        <f t="shared" si="52"/>
        <v>0</v>
      </c>
      <c r="AI58" s="42">
        <f t="shared" ref="AI58:AJ62" si="58">J58+L58+N58</f>
        <v>0</v>
      </c>
      <c r="AJ58" s="121">
        <f t="shared" si="58"/>
        <v>0</v>
      </c>
      <c r="AK58" s="48">
        <f t="shared" si="53"/>
        <v>0</v>
      </c>
      <c r="AL58" s="42">
        <f t="shared" ref="AL58:AM62" si="59">P58+R58+T58</f>
        <v>0</v>
      </c>
      <c r="AM58" s="121">
        <f t="shared" si="59"/>
        <v>0</v>
      </c>
      <c r="AN58" s="48">
        <f t="shared" si="54"/>
        <v>0</v>
      </c>
      <c r="AO58" s="42">
        <f t="shared" ref="AO58:AP62" si="60">V58+X58+Z58</f>
        <v>0</v>
      </c>
      <c r="AP58" s="43">
        <f t="shared" si="60"/>
        <v>0</v>
      </c>
      <c r="AQ58" s="48">
        <f t="shared" si="55"/>
        <v>0</v>
      </c>
      <c r="AR58" s="42">
        <f t="shared" si="14"/>
        <v>0</v>
      </c>
      <c r="AS58" s="43">
        <f t="shared" si="15"/>
        <v>0</v>
      </c>
      <c r="AT58" s="48">
        <f t="shared" si="56"/>
        <v>0</v>
      </c>
    </row>
    <row r="59" spans="2:46" ht="22.25" customHeight="1" x14ac:dyDescent="0.2">
      <c r="B59" s="123" t="s">
        <v>120</v>
      </c>
      <c r="C59" s="124"/>
      <c r="D59" s="107">
        <v>0</v>
      </c>
      <c r="E59" s="43"/>
      <c r="F59" s="107">
        <v>0</v>
      </c>
      <c r="G59" s="43"/>
      <c r="H59" s="107">
        <v>0</v>
      </c>
      <c r="I59" s="43"/>
      <c r="J59" s="107">
        <v>0</v>
      </c>
      <c r="K59" s="43"/>
      <c r="L59" s="107">
        <v>0</v>
      </c>
      <c r="M59" s="43"/>
      <c r="N59" s="107">
        <v>0</v>
      </c>
      <c r="O59" s="43"/>
      <c r="P59" s="107">
        <v>0</v>
      </c>
      <c r="Q59" s="43"/>
      <c r="R59" s="107">
        <v>0</v>
      </c>
      <c r="S59" s="43"/>
      <c r="T59" s="107">
        <v>0</v>
      </c>
      <c r="U59" s="43"/>
      <c r="V59" s="107">
        <v>0</v>
      </c>
      <c r="W59" s="43"/>
      <c r="X59" s="107">
        <v>0</v>
      </c>
      <c r="Y59" s="43"/>
      <c r="Z59" s="107">
        <v>0</v>
      </c>
      <c r="AA59" s="43"/>
      <c r="AB59" s="48">
        <f t="shared" si="51"/>
        <v>0</v>
      </c>
      <c r="AC59" s="119"/>
      <c r="AE59" s="9"/>
      <c r="AF59" s="42">
        <f t="shared" si="57"/>
        <v>0</v>
      </c>
      <c r="AG59" s="120">
        <f t="shared" si="57"/>
        <v>0</v>
      </c>
      <c r="AH59" s="48">
        <f t="shared" si="52"/>
        <v>0</v>
      </c>
      <c r="AI59" s="42">
        <f t="shared" si="58"/>
        <v>0</v>
      </c>
      <c r="AJ59" s="121">
        <f t="shared" si="58"/>
        <v>0</v>
      </c>
      <c r="AK59" s="48">
        <f t="shared" si="53"/>
        <v>0</v>
      </c>
      <c r="AL59" s="42">
        <f t="shared" si="59"/>
        <v>0</v>
      </c>
      <c r="AM59" s="121">
        <f t="shared" si="59"/>
        <v>0</v>
      </c>
      <c r="AN59" s="48">
        <f t="shared" si="54"/>
        <v>0</v>
      </c>
      <c r="AO59" s="42">
        <f t="shared" si="60"/>
        <v>0</v>
      </c>
      <c r="AP59" s="43">
        <f t="shared" si="60"/>
        <v>0</v>
      </c>
      <c r="AQ59" s="48">
        <f t="shared" si="55"/>
        <v>0</v>
      </c>
      <c r="AR59" s="42">
        <f t="shared" si="14"/>
        <v>0</v>
      </c>
      <c r="AS59" s="43">
        <f t="shared" si="15"/>
        <v>0</v>
      </c>
      <c r="AT59" s="48">
        <f t="shared" si="56"/>
        <v>0</v>
      </c>
    </row>
    <row r="60" spans="2:46" ht="22.25" customHeight="1" x14ac:dyDescent="0.2">
      <c r="B60" s="109" t="s">
        <v>72</v>
      </c>
      <c r="C60" s="44"/>
      <c r="D60" s="107">
        <v>400</v>
      </c>
      <c r="E60" s="43"/>
      <c r="F60" s="107">
        <v>400</v>
      </c>
      <c r="G60" s="43"/>
      <c r="H60" s="107">
        <v>400</v>
      </c>
      <c r="I60" s="43"/>
      <c r="J60" s="107">
        <v>400</v>
      </c>
      <c r="K60" s="43"/>
      <c r="L60" s="107">
        <v>400</v>
      </c>
      <c r="M60" s="43"/>
      <c r="N60" s="107">
        <v>400</v>
      </c>
      <c r="O60" s="43"/>
      <c r="P60" s="107">
        <v>400</v>
      </c>
      <c r="Q60" s="43"/>
      <c r="R60" s="107">
        <v>400</v>
      </c>
      <c r="S60" s="43"/>
      <c r="T60" s="107">
        <v>400</v>
      </c>
      <c r="U60" s="43"/>
      <c r="V60" s="107">
        <v>400</v>
      </c>
      <c r="W60" s="43"/>
      <c r="X60" s="107">
        <v>400</v>
      </c>
      <c r="Y60" s="43"/>
      <c r="Z60" s="107">
        <v>400</v>
      </c>
      <c r="AA60" s="43"/>
      <c r="AB60" s="48">
        <f t="shared" si="51"/>
        <v>0</v>
      </c>
      <c r="AC60" s="119"/>
      <c r="AE60" s="9"/>
      <c r="AF60" s="42">
        <f t="shared" si="57"/>
        <v>1200</v>
      </c>
      <c r="AG60" s="120">
        <f t="shared" si="57"/>
        <v>0</v>
      </c>
      <c r="AH60" s="48">
        <f t="shared" si="52"/>
        <v>0</v>
      </c>
      <c r="AI60" s="42">
        <f t="shared" si="58"/>
        <v>1200</v>
      </c>
      <c r="AJ60" s="121">
        <f t="shared" si="58"/>
        <v>0</v>
      </c>
      <c r="AK60" s="48">
        <f t="shared" si="53"/>
        <v>0</v>
      </c>
      <c r="AL60" s="42">
        <f t="shared" si="59"/>
        <v>1200</v>
      </c>
      <c r="AM60" s="121">
        <f t="shared" si="59"/>
        <v>0</v>
      </c>
      <c r="AN60" s="48">
        <f t="shared" si="54"/>
        <v>0</v>
      </c>
      <c r="AO60" s="42">
        <f t="shared" si="60"/>
        <v>1200</v>
      </c>
      <c r="AP60" s="43">
        <f t="shared" si="60"/>
        <v>0</v>
      </c>
      <c r="AQ60" s="48">
        <f t="shared" si="55"/>
        <v>0</v>
      </c>
      <c r="AR60" s="42">
        <f t="shared" si="14"/>
        <v>4800</v>
      </c>
      <c r="AS60" s="43">
        <f t="shared" si="15"/>
        <v>0</v>
      </c>
      <c r="AT60" s="48">
        <f t="shared" si="56"/>
        <v>0</v>
      </c>
    </row>
    <row r="61" spans="2:46" ht="22.25" customHeight="1" x14ac:dyDescent="0.2">
      <c r="B61" s="109" t="s">
        <v>73</v>
      </c>
      <c r="C61" s="44"/>
      <c r="D61" s="42">
        <v>100</v>
      </c>
      <c r="E61" s="43"/>
      <c r="F61" s="42">
        <v>100</v>
      </c>
      <c r="G61" s="43"/>
      <c r="H61" s="42">
        <v>300</v>
      </c>
      <c r="I61" s="43"/>
      <c r="J61" s="42">
        <v>100</v>
      </c>
      <c r="K61" s="43"/>
      <c r="L61" s="42">
        <v>100</v>
      </c>
      <c r="M61" s="43"/>
      <c r="N61" s="42">
        <v>300</v>
      </c>
      <c r="O61" s="43"/>
      <c r="P61" s="42">
        <v>100</v>
      </c>
      <c r="Q61" s="43"/>
      <c r="R61" s="42">
        <v>100</v>
      </c>
      <c r="S61" s="43"/>
      <c r="T61" s="42">
        <v>300</v>
      </c>
      <c r="U61" s="43"/>
      <c r="V61" s="42">
        <v>100</v>
      </c>
      <c r="W61" s="43"/>
      <c r="X61" s="42">
        <v>100</v>
      </c>
      <c r="Y61" s="43"/>
      <c r="Z61" s="42">
        <v>300</v>
      </c>
      <c r="AA61" s="43"/>
      <c r="AB61" s="48">
        <f t="shared" si="51"/>
        <v>0</v>
      </c>
      <c r="AC61" s="119"/>
      <c r="AE61" s="9"/>
      <c r="AF61" s="42">
        <f t="shared" si="57"/>
        <v>500</v>
      </c>
      <c r="AG61" s="120">
        <f t="shared" si="57"/>
        <v>0</v>
      </c>
      <c r="AH61" s="48">
        <f t="shared" si="52"/>
        <v>0</v>
      </c>
      <c r="AI61" s="42">
        <f t="shared" si="58"/>
        <v>500</v>
      </c>
      <c r="AJ61" s="121">
        <f t="shared" si="58"/>
        <v>0</v>
      </c>
      <c r="AK61" s="48">
        <f t="shared" si="53"/>
        <v>0</v>
      </c>
      <c r="AL61" s="42">
        <f t="shared" si="59"/>
        <v>500</v>
      </c>
      <c r="AM61" s="121">
        <f t="shared" si="59"/>
        <v>0</v>
      </c>
      <c r="AN61" s="48">
        <f t="shared" si="54"/>
        <v>0</v>
      </c>
      <c r="AO61" s="42">
        <f t="shared" si="60"/>
        <v>500</v>
      </c>
      <c r="AP61" s="43">
        <f t="shared" si="60"/>
        <v>0</v>
      </c>
      <c r="AQ61" s="48">
        <f t="shared" si="55"/>
        <v>0</v>
      </c>
      <c r="AR61" s="42">
        <f>AF61+AI61+AL61+AO61</f>
        <v>2000</v>
      </c>
      <c r="AS61" s="43">
        <f>AG61+AJ61+AM61+AP61</f>
        <v>0</v>
      </c>
      <c r="AT61" s="48">
        <f t="shared" si="56"/>
        <v>0</v>
      </c>
    </row>
    <row r="62" spans="2:46" ht="22.25" customHeight="1" x14ac:dyDescent="0.2">
      <c r="B62" s="109" t="s">
        <v>74</v>
      </c>
      <c r="C62" s="44"/>
      <c r="D62" s="42">
        <v>0</v>
      </c>
      <c r="E62" s="43"/>
      <c r="F62" s="42">
        <v>0</v>
      </c>
      <c r="G62" s="43"/>
      <c r="H62" s="42">
        <v>0</v>
      </c>
      <c r="I62" s="43"/>
      <c r="J62" s="42">
        <v>0</v>
      </c>
      <c r="K62" s="43"/>
      <c r="L62" s="42">
        <v>0</v>
      </c>
      <c r="M62" s="43"/>
      <c r="N62" s="42">
        <v>0</v>
      </c>
      <c r="O62" s="43"/>
      <c r="P62" s="42">
        <v>0</v>
      </c>
      <c r="Q62" s="43"/>
      <c r="R62" s="42">
        <v>1000</v>
      </c>
      <c r="S62" s="43"/>
      <c r="T62" s="42">
        <v>0</v>
      </c>
      <c r="U62" s="43"/>
      <c r="V62" s="42">
        <v>0</v>
      </c>
      <c r="W62" s="43"/>
      <c r="X62" s="42">
        <v>0</v>
      </c>
      <c r="Y62" s="43"/>
      <c r="Z62" s="42">
        <v>0</v>
      </c>
      <c r="AA62" s="43"/>
      <c r="AB62" s="48">
        <f t="shared" si="51"/>
        <v>0</v>
      </c>
      <c r="AC62" s="119"/>
      <c r="AE62" s="9"/>
      <c r="AF62" s="42">
        <f t="shared" si="57"/>
        <v>0</v>
      </c>
      <c r="AG62" s="120">
        <f t="shared" si="57"/>
        <v>0</v>
      </c>
      <c r="AH62" s="48">
        <f t="shared" si="52"/>
        <v>0</v>
      </c>
      <c r="AI62" s="42">
        <f t="shared" si="58"/>
        <v>0</v>
      </c>
      <c r="AJ62" s="121">
        <f t="shared" si="58"/>
        <v>0</v>
      </c>
      <c r="AK62" s="48">
        <f t="shared" si="53"/>
        <v>0</v>
      </c>
      <c r="AL62" s="42">
        <f t="shared" si="59"/>
        <v>1000</v>
      </c>
      <c r="AM62" s="121">
        <f t="shared" si="59"/>
        <v>0</v>
      </c>
      <c r="AN62" s="48">
        <f t="shared" si="54"/>
        <v>0</v>
      </c>
      <c r="AO62" s="42">
        <f t="shared" si="60"/>
        <v>0</v>
      </c>
      <c r="AP62" s="43">
        <f t="shared" si="60"/>
        <v>0</v>
      </c>
      <c r="AQ62" s="48">
        <f t="shared" si="55"/>
        <v>0</v>
      </c>
      <c r="AR62" s="42">
        <f t="shared" si="14"/>
        <v>1000</v>
      </c>
      <c r="AS62" s="43">
        <f t="shared" si="15"/>
        <v>0</v>
      </c>
      <c r="AT62" s="48">
        <f t="shared" si="56"/>
        <v>0</v>
      </c>
    </row>
    <row r="63" spans="2:46" ht="22.25" customHeight="1" x14ac:dyDescent="0.2">
      <c r="B63" s="45"/>
      <c r="C63" s="44"/>
      <c r="D63" s="42"/>
      <c r="E63" s="43"/>
      <c r="F63" s="42"/>
      <c r="G63" s="43"/>
      <c r="H63" s="42"/>
      <c r="I63" s="43"/>
      <c r="J63" s="42"/>
      <c r="K63" s="43"/>
      <c r="L63" s="42"/>
      <c r="M63" s="43"/>
      <c r="N63" s="42"/>
      <c r="O63" s="43"/>
      <c r="P63" s="42"/>
      <c r="Q63" s="43"/>
      <c r="R63" s="42"/>
      <c r="S63" s="43"/>
      <c r="T63" s="42"/>
      <c r="U63" s="43"/>
      <c r="V63" s="42"/>
      <c r="W63" s="43"/>
      <c r="X63" s="42"/>
      <c r="Y63" s="43"/>
      <c r="Z63" s="42"/>
      <c r="AA63" s="43"/>
      <c r="AB63" s="49"/>
      <c r="AC63" s="119"/>
      <c r="AE63" s="9"/>
      <c r="AF63" s="42"/>
      <c r="AG63" s="120"/>
      <c r="AH63" s="49"/>
      <c r="AI63" s="42"/>
      <c r="AJ63" s="121"/>
      <c r="AK63" s="49"/>
      <c r="AL63" s="42"/>
      <c r="AM63" s="121"/>
      <c r="AN63" s="49"/>
      <c r="AO63" s="42"/>
      <c r="AP63" s="43"/>
      <c r="AQ63" s="49"/>
      <c r="AR63" s="42"/>
      <c r="AS63" s="43"/>
      <c r="AT63" s="49"/>
    </row>
    <row r="64" spans="2:46" ht="26" customHeight="1" x14ac:dyDescent="0.2">
      <c r="B64" s="116" t="s">
        <v>6</v>
      </c>
      <c r="C64" s="117" t="s">
        <v>30</v>
      </c>
      <c r="D64" s="111">
        <f t="shared" ref="D64:AA64" si="61">SUM(D65:D68)</f>
        <v>0</v>
      </c>
      <c r="E64" s="111">
        <f t="shared" si="61"/>
        <v>0</v>
      </c>
      <c r="F64" s="111">
        <f t="shared" si="61"/>
        <v>0</v>
      </c>
      <c r="G64" s="111">
        <f t="shared" si="61"/>
        <v>0</v>
      </c>
      <c r="H64" s="111">
        <f t="shared" si="61"/>
        <v>0</v>
      </c>
      <c r="I64" s="111">
        <f t="shared" si="61"/>
        <v>0</v>
      </c>
      <c r="J64" s="111">
        <f t="shared" si="61"/>
        <v>0</v>
      </c>
      <c r="K64" s="111">
        <f t="shared" si="61"/>
        <v>0</v>
      </c>
      <c r="L64" s="111">
        <f t="shared" si="61"/>
        <v>0</v>
      </c>
      <c r="M64" s="111">
        <f t="shared" si="61"/>
        <v>0</v>
      </c>
      <c r="N64" s="111">
        <f t="shared" si="61"/>
        <v>0</v>
      </c>
      <c r="O64" s="111">
        <f t="shared" si="61"/>
        <v>0</v>
      </c>
      <c r="P64" s="111">
        <f t="shared" si="61"/>
        <v>0</v>
      </c>
      <c r="Q64" s="111">
        <f t="shared" si="61"/>
        <v>0</v>
      </c>
      <c r="R64" s="111">
        <f t="shared" si="61"/>
        <v>0</v>
      </c>
      <c r="S64" s="111">
        <f t="shared" si="61"/>
        <v>0</v>
      </c>
      <c r="T64" s="111">
        <f t="shared" si="61"/>
        <v>0</v>
      </c>
      <c r="U64" s="111">
        <f t="shared" si="61"/>
        <v>0</v>
      </c>
      <c r="V64" s="111">
        <f t="shared" si="61"/>
        <v>0</v>
      </c>
      <c r="W64" s="111">
        <f t="shared" si="61"/>
        <v>0</v>
      </c>
      <c r="X64" s="111">
        <f t="shared" si="61"/>
        <v>0</v>
      </c>
      <c r="Y64" s="111">
        <f t="shared" si="61"/>
        <v>0</v>
      </c>
      <c r="Z64" s="111">
        <f t="shared" si="61"/>
        <v>0</v>
      </c>
      <c r="AA64" s="111">
        <f t="shared" si="61"/>
        <v>0</v>
      </c>
      <c r="AB64" s="50">
        <f>IFERROR(AA64/Z64,0)</f>
        <v>0</v>
      </c>
      <c r="AC64" s="118"/>
      <c r="AD64" s="8"/>
      <c r="AE64" s="9"/>
      <c r="AF64" s="41">
        <f>SUM(AF65:AF68)</f>
        <v>0</v>
      </c>
      <c r="AG64" s="41">
        <f>SUM(AG65:AG68)</f>
        <v>0</v>
      </c>
      <c r="AH64" s="50">
        <f>IFERROR(AG64/AF64,0)</f>
        <v>0</v>
      </c>
      <c r="AI64" s="41">
        <f>SUM(AI65:AI68)</f>
        <v>0</v>
      </c>
      <c r="AJ64" s="41">
        <f>SUM(AJ65:AJ68)</f>
        <v>0</v>
      </c>
      <c r="AK64" s="50">
        <f>IFERROR(AJ64/AI64,0)</f>
        <v>0</v>
      </c>
      <c r="AL64" s="41">
        <f>SUM(AL65:AL68)</f>
        <v>0</v>
      </c>
      <c r="AM64" s="41">
        <f>SUM(AM65:AM68)</f>
        <v>0</v>
      </c>
      <c r="AN64" s="50">
        <f>IFERROR(AM64/AL64,0)</f>
        <v>0</v>
      </c>
      <c r="AO64" s="41">
        <f>SUM(AO65:AO68)</f>
        <v>0</v>
      </c>
      <c r="AP64" s="41">
        <f>SUM(AP65:AP68)</f>
        <v>0</v>
      </c>
      <c r="AQ64" s="50">
        <f>IFERROR(AP64/AO64,0)</f>
        <v>0</v>
      </c>
      <c r="AR64" s="41">
        <f>SUM(AR65:AR68)</f>
        <v>0</v>
      </c>
      <c r="AS64" s="41">
        <f>SUM(AS65:AS68)</f>
        <v>0</v>
      </c>
      <c r="AT64" s="50">
        <f>IFERROR(AS64/AR64,0)</f>
        <v>0</v>
      </c>
    </row>
    <row r="65" spans="2:46" ht="22.25" customHeight="1" x14ac:dyDescent="0.2">
      <c r="B65" s="109" t="s">
        <v>75</v>
      </c>
      <c r="C65" s="44"/>
      <c r="D65" s="42">
        <v>0</v>
      </c>
      <c r="E65" s="43"/>
      <c r="F65" s="42">
        <v>0</v>
      </c>
      <c r="G65" s="43"/>
      <c r="H65" s="42">
        <v>0</v>
      </c>
      <c r="I65" s="43"/>
      <c r="J65" s="42">
        <v>0</v>
      </c>
      <c r="K65" s="43"/>
      <c r="L65" s="42">
        <v>0</v>
      </c>
      <c r="M65" s="43"/>
      <c r="N65" s="42">
        <v>0</v>
      </c>
      <c r="O65" s="43"/>
      <c r="P65" s="42">
        <v>0</v>
      </c>
      <c r="Q65" s="43"/>
      <c r="R65" s="42">
        <v>0</v>
      </c>
      <c r="S65" s="43"/>
      <c r="T65" s="42">
        <v>0</v>
      </c>
      <c r="U65" s="43"/>
      <c r="V65" s="42">
        <v>0</v>
      </c>
      <c r="W65" s="43"/>
      <c r="X65" s="42">
        <v>0</v>
      </c>
      <c r="Y65" s="43"/>
      <c r="Z65" s="42">
        <v>0</v>
      </c>
      <c r="AA65" s="43"/>
      <c r="AB65" s="48">
        <f>IFERROR(AA65/Z65,0)</f>
        <v>0</v>
      </c>
      <c r="AC65" s="119"/>
      <c r="AE65" s="9"/>
      <c r="AF65" s="42">
        <f t="shared" ref="AF65:AG68" si="62">D65+F65+H65</f>
        <v>0</v>
      </c>
      <c r="AG65" s="120">
        <f t="shared" si="62"/>
        <v>0</v>
      </c>
      <c r="AH65" s="48">
        <f>IFERROR(AG65/AF65,0)</f>
        <v>0</v>
      </c>
      <c r="AI65" s="42">
        <f t="shared" ref="AI65:AJ68" si="63">J65+L65+N65</f>
        <v>0</v>
      </c>
      <c r="AJ65" s="121">
        <f t="shared" si="63"/>
        <v>0</v>
      </c>
      <c r="AK65" s="48">
        <f>IFERROR(AJ65/AI65,0)</f>
        <v>0</v>
      </c>
      <c r="AL65" s="42">
        <f t="shared" ref="AL65:AM68" si="64">P65+R65+T65</f>
        <v>0</v>
      </c>
      <c r="AM65" s="121">
        <f t="shared" si="64"/>
        <v>0</v>
      </c>
      <c r="AN65" s="48">
        <f>IFERROR(AM65/AL65,0)</f>
        <v>0</v>
      </c>
      <c r="AO65" s="42">
        <f t="shared" ref="AO65:AP68" si="65">V65+X65+Z65</f>
        <v>0</v>
      </c>
      <c r="AP65" s="43">
        <f t="shared" si="65"/>
        <v>0</v>
      </c>
      <c r="AQ65" s="48">
        <f>IFERROR(AP65/AO65,0)</f>
        <v>0</v>
      </c>
      <c r="AR65" s="42">
        <f t="shared" si="14"/>
        <v>0</v>
      </c>
      <c r="AS65" s="43">
        <f t="shared" si="15"/>
        <v>0</v>
      </c>
      <c r="AT65" s="48">
        <f>IFERROR(AS65/AR65,0)</f>
        <v>0</v>
      </c>
    </row>
    <row r="66" spans="2:46" ht="22.25" customHeight="1" x14ac:dyDescent="0.2">
      <c r="B66" s="109" t="s">
        <v>76</v>
      </c>
      <c r="C66" s="44"/>
      <c r="D66" s="42">
        <v>0</v>
      </c>
      <c r="E66" s="43"/>
      <c r="F66" s="42">
        <v>0</v>
      </c>
      <c r="G66" s="43"/>
      <c r="H66" s="42">
        <v>0</v>
      </c>
      <c r="I66" s="43"/>
      <c r="J66" s="42">
        <v>0</v>
      </c>
      <c r="K66" s="43"/>
      <c r="L66" s="42">
        <v>0</v>
      </c>
      <c r="M66" s="43"/>
      <c r="N66" s="42">
        <v>0</v>
      </c>
      <c r="O66" s="43"/>
      <c r="P66" s="42">
        <v>0</v>
      </c>
      <c r="Q66" s="43"/>
      <c r="R66" s="42">
        <v>0</v>
      </c>
      <c r="S66" s="43"/>
      <c r="T66" s="42">
        <v>0</v>
      </c>
      <c r="U66" s="43"/>
      <c r="V66" s="42">
        <v>0</v>
      </c>
      <c r="W66" s="43"/>
      <c r="X66" s="42">
        <v>0</v>
      </c>
      <c r="Y66" s="43"/>
      <c r="Z66" s="42">
        <v>0</v>
      </c>
      <c r="AA66" s="43"/>
      <c r="AB66" s="48">
        <f>IFERROR(AA66/Z66,0)</f>
        <v>0</v>
      </c>
      <c r="AC66" s="119"/>
      <c r="AE66" s="9"/>
      <c r="AF66" s="42">
        <f t="shared" si="62"/>
        <v>0</v>
      </c>
      <c r="AG66" s="120">
        <f t="shared" si="62"/>
        <v>0</v>
      </c>
      <c r="AH66" s="48">
        <f>IFERROR(AG66/AF66,0)</f>
        <v>0</v>
      </c>
      <c r="AI66" s="42">
        <f t="shared" si="63"/>
        <v>0</v>
      </c>
      <c r="AJ66" s="121">
        <f t="shared" si="63"/>
        <v>0</v>
      </c>
      <c r="AK66" s="48">
        <f>IFERROR(AJ66/AI66,0)</f>
        <v>0</v>
      </c>
      <c r="AL66" s="42">
        <f t="shared" si="64"/>
        <v>0</v>
      </c>
      <c r="AM66" s="121">
        <f t="shared" si="64"/>
        <v>0</v>
      </c>
      <c r="AN66" s="48">
        <f>IFERROR(AM66/AL66,0)</f>
        <v>0</v>
      </c>
      <c r="AO66" s="42">
        <f t="shared" si="65"/>
        <v>0</v>
      </c>
      <c r="AP66" s="43">
        <f t="shared" si="65"/>
        <v>0</v>
      </c>
      <c r="AQ66" s="48">
        <f>IFERROR(AP66/AO66,0)</f>
        <v>0</v>
      </c>
      <c r="AR66" s="42">
        <f t="shared" si="14"/>
        <v>0</v>
      </c>
      <c r="AS66" s="43">
        <f t="shared" si="15"/>
        <v>0</v>
      </c>
      <c r="AT66" s="48">
        <f>IFERROR(AS66/AR66,0)</f>
        <v>0</v>
      </c>
    </row>
    <row r="67" spans="2:46" ht="22.25" customHeight="1" x14ac:dyDescent="0.2">
      <c r="B67" s="109" t="s">
        <v>77</v>
      </c>
      <c r="C67" s="44"/>
      <c r="D67" s="42">
        <v>0</v>
      </c>
      <c r="E67" s="43"/>
      <c r="F67" s="42">
        <v>0</v>
      </c>
      <c r="G67" s="43"/>
      <c r="H67" s="42">
        <v>0</v>
      </c>
      <c r="I67" s="43"/>
      <c r="J67" s="42">
        <v>0</v>
      </c>
      <c r="K67" s="43"/>
      <c r="L67" s="42">
        <v>0</v>
      </c>
      <c r="M67" s="43"/>
      <c r="N67" s="42">
        <v>0</v>
      </c>
      <c r="O67" s="43"/>
      <c r="P67" s="42">
        <v>0</v>
      </c>
      <c r="Q67" s="43"/>
      <c r="R67" s="42">
        <v>0</v>
      </c>
      <c r="S67" s="43"/>
      <c r="T67" s="42">
        <v>0</v>
      </c>
      <c r="U67" s="43"/>
      <c r="V67" s="42">
        <v>0</v>
      </c>
      <c r="W67" s="43"/>
      <c r="X67" s="42">
        <v>0</v>
      </c>
      <c r="Y67" s="43"/>
      <c r="Z67" s="42">
        <v>0</v>
      </c>
      <c r="AA67" s="43"/>
      <c r="AB67" s="48">
        <f>IFERROR(AA67/Z67,0)</f>
        <v>0</v>
      </c>
      <c r="AC67" s="119"/>
      <c r="AE67" s="9"/>
      <c r="AF67" s="42">
        <f t="shared" si="62"/>
        <v>0</v>
      </c>
      <c r="AG67" s="120">
        <f t="shared" si="62"/>
        <v>0</v>
      </c>
      <c r="AH67" s="48">
        <f>IFERROR(AG67/AF67,0)</f>
        <v>0</v>
      </c>
      <c r="AI67" s="42">
        <f t="shared" si="63"/>
        <v>0</v>
      </c>
      <c r="AJ67" s="121">
        <f t="shared" si="63"/>
        <v>0</v>
      </c>
      <c r="AK67" s="48">
        <f>IFERROR(AJ67/AI67,0)</f>
        <v>0</v>
      </c>
      <c r="AL67" s="42">
        <f t="shared" si="64"/>
        <v>0</v>
      </c>
      <c r="AM67" s="121">
        <f t="shared" si="64"/>
        <v>0</v>
      </c>
      <c r="AN67" s="48">
        <f>IFERROR(AM67/AL67,0)</f>
        <v>0</v>
      </c>
      <c r="AO67" s="42">
        <f t="shared" si="65"/>
        <v>0</v>
      </c>
      <c r="AP67" s="43">
        <f t="shared" si="65"/>
        <v>0</v>
      </c>
      <c r="AQ67" s="48">
        <f>IFERROR(AP67/AO67,0)</f>
        <v>0</v>
      </c>
      <c r="AR67" s="42">
        <f t="shared" si="14"/>
        <v>0</v>
      </c>
      <c r="AS67" s="43">
        <f t="shared" si="15"/>
        <v>0</v>
      </c>
      <c r="AT67" s="48">
        <f>IFERROR(AS67/AR67,0)</f>
        <v>0</v>
      </c>
    </row>
    <row r="68" spans="2:46" ht="22.25" customHeight="1" x14ac:dyDescent="0.2">
      <c r="B68" s="109" t="s">
        <v>78</v>
      </c>
      <c r="C68" s="44"/>
      <c r="D68" s="42">
        <v>0</v>
      </c>
      <c r="E68" s="43"/>
      <c r="F68" s="42">
        <v>0</v>
      </c>
      <c r="G68" s="43"/>
      <c r="H68" s="42">
        <v>0</v>
      </c>
      <c r="I68" s="43"/>
      <c r="J68" s="42">
        <v>0</v>
      </c>
      <c r="K68" s="43"/>
      <c r="L68" s="42">
        <v>0</v>
      </c>
      <c r="M68" s="43"/>
      <c r="N68" s="42">
        <v>0</v>
      </c>
      <c r="O68" s="43"/>
      <c r="P68" s="42">
        <v>0</v>
      </c>
      <c r="Q68" s="43"/>
      <c r="R68" s="42">
        <v>0</v>
      </c>
      <c r="S68" s="43"/>
      <c r="T68" s="42">
        <v>0</v>
      </c>
      <c r="U68" s="43"/>
      <c r="V68" s="42">
        <v>0</v>
      </c>
      <c r="W68" s="43"/>
      <c r="X68" s="42">
        <v>0</v>
      </c>
      <c r="Y68" s="43"/>
      <c r="Z68" s="42">
        <v>0</v>
      </c>
      <c r="AA68" s="43"/>
      <c r="AB68" s="48">
        <f>IFERROR(AA68/Z68,0)</f>
        <v>0</v>
      </c>
      <c r="AC68" s="119"/>
      <c r="AE68" s="9"/>
      <c r="AF68" s="42">
        <f t="shared" si="62"/>
        <v>0</v>
      </c>
      <c r="AG68" s="120">
        <f t="shared" si="62"/>
        <v>0</v>
      </c>
      <c r="AH68" s="48">
        <f>IFERROR(AG68/AF68,0)</f>
        <v>0</v>
      </c>
      <c r="AI68" s="42">
        <f t="shared" si="63"/>
        <v>0</v>
      </c>
      <c r="AJ68" s="121">
        <f t="shared" si="63"/>
        <v>0</v>
      </c>
      <c r="AK68" s="48">
        <f>IFERROR(AJ68/AI68,0)</f>
        <v>0</v>
      </c>
      <c r="AL68" s="42">
        <f t="shared" si="64"/>
        <v>0</v>
      </c>
      <c r="AM68" s="121">
        <f t="shared" si="64"/>
        <v>0</v>
      </c>
      <c r="AN68" s="48">
        <f>IFERROR(AM68/AL68,0)</f>
        <v>0</v>
      </c>
      <c r="AO68" s="42">
        <f t="shared" si="65"/>
        <v>0</v>
      </c>
      <c r="AP68" s="43">
        <f t="shared" si="65"/>
        <v>0</v>
      </c>
      <c r="AQ68" s="48">
        <f>IFERROR(AP68/AO68,0)</f>
        <v>0</v>
      </c>
      <c r="AR68" s="42">
        <f t="shared" si="14"/>
        <v>0</v>
      </c>
      <c r="AS68" s="43">
        <f t="shared" si="15"/>
        <v>0</v>
      </c>
      <c r="AT68" s="48">
        <f>IFERROR(AS68/AR68,0)</f>
        <v>0</v>
      </c>
    </row>
    <row r="69" spans="2:46" ht="22.25" customHeight="1" x14ac:dyDescent="0.2">
      <c r="B69" s="109"/>
      <c r="C69" s="44"/>
      <c r="D69" s="42"/>
      <c r="E69" s="43"/>
      <c r="F69" s="42"/>
      <c r="G69" s="43"/>
      <c r="H69" s="42"/>
      <c r="I69" s="43"/>
      <c r="J69" s="42"/>
      <c r="K69" s="43"/>
      <c r="L69" s="42"/>
      <c r="M69" s="43"/>
      <c r="N69" s="42"/>
      <c r="O69" s="43"/>
      <c r="P69" s="42"/>
      <c r="Q69" s="43"/>
      <c r="R69" s="42"/>
      <c r="S69" s="43"/>
      <c r="T69" s="42"/>
      <c r="U69" s="43"/>
      <c r="V69" s="42"/>
      <c r="W69" s="43"/>
      <c r="X69" s="42"/>
      <c r="Y69" s="43"/>
      <c r="Z69" s="42"/>
      <c r="AA69" s="43"/>
      <c r="AB69" s="48"/>
      <c r="AC69" s="119"/>
      <c r="AE69" s="9"/>
      <c r="AF69" s="42"/>
      <c r="AG69" s="120"/>
      <c r="AH69" s="48"/>
      <c r="AI69" s="42"/>
      <c r="AJ69" s="121"/>
      <c r="AK69" s="48"/>
      <c r="AL69" s="42"/>
      <c r="AM69" s="121"/>
      <c r="AN69" s="48"/>
      <c r="AO69" s="42"/>
      <c r="AP69" s="43"/>
      <c r="AQ69" s="48"/>
      <c r="AR69" s="42"/>
      <c r="AS69" s="43"/>
      <c r="AT69" s="48"/>
    </row>
    <row r="70" spans="2:46" ht="26" customHeight="1" x14ac:dyDescent="0.2">
      <c r="B70" s="116" t="s">
        <v>79</v>
      </c>
      <c r="C70" s="117"/>
      <c r="D70" s="41">
        <f>D5+D20+D30+D34+D38+D44+D57+D64</f>
        <v>53862.2</v>
      </c>
      <c r="E70" s="41">
        <f>E5+E20+E30+E34++E44+E57+E38+E64</f>
        <v>0</v>
      </c>
      <c r="F70" s="41">
        <f t="shared" ref="F70:AA70" si="66">F5+F20+F30+F34+F44+F57+F38+F64</f>
        <v>59342.2</v>
      </c>
      <c r="G70" s="41">
        <f t="shared" si="66"/>
        <v>0</v>
      </c>
      <c r="H70" s="41">
        <f t="shared" si="66"/>
        <v>84692.2</v>
      </c>
      <c r="I70" s="41">
        <f t="shared" si="66"/>
        <v>0</v>
      </c>
      <c r="J70" s="41">
        <f t="shared" si="66"/>
        <v>41892.199999999997</v>
      </c>
      <c r="K70" s="41">
        <f t="shared" si="66"/>
        <v>0</v>
      </c>
      <c r="L70" s="41">
        <f t="shared" si="66"/>
        <v>38992.199999999997</v>
      </c>
      <c r="M70" s="41">
        <f t="shared" si="66"/>
        <v>0</v>
      </c>
      <c r="N70" s="41">
        <f t="shared" si="66"/>
        <v>42192.2</v>
      </c>
      <c r="O70" s="41">
        <f t="shared" si="66"/>
        <v>0</v>
      </c>
      <c r="P70" s="41">
        <f t="shared" si="66"/>
        <v>39392.199999999997</v>
      </c>
      <c r="Q70" s="41">
        <f t="shared" si="66"/>
        <v>172.49</v>
      </c>
      <c r="R70" s="41">
        <f t="shared" si="66"/>
        <v>44492.2</v>
      </c>
      <c r="S70" s="41">
        <f t="shared" si="66"/>
        <v>0</v>
      </c>
      <c r="T70" s="41">
        <f t="shared" si="66"/>
        <v>39692.199999999997</v>
      </c>
      <c r="U70" s="41">
        <f t="shared" si="66"/>
        <v>0</v>
      </c>
      <c r="V70" s="41">
        <f t="shared" si="66"/>
        <v>41892.199999999997</v>
      </c>
      <c r="W70" s="41">
        <f t="shared" si="66"/>
        <v>0</v>
      </c>
      <c r="X70" s="41">
        <f t="shared" si="66"/>
        <v>40992.199999999997</v>
      </c>
      <c r="Y70" s="41">
        <f t="shared" si="66"/>
        <v>0</v>
      </c>
      <c r="Z70" s="111">
        <f t="shared" si="66"/>
        <v>44192.2</v>
      </c>
      <c r="AA70" s="111">
        <f t="shared" si="66"/>
        <v>0</v>
      </c>
      <c r="AB70" s="50">
        <f>IFERROR(AA70/Z70,0)</f>
        <v>0</v>
      </c>
      <c r="AC70" s="118"/>
      <c r="AE70" s="9"/>
      <c r="AF70" s="41">
        <f>AF5+AF20+AF30+AF34+AF44+AF57+AF38+AF64</f>
        <v>197896.6</v>
      </c>
      <c r="AG70" s="41">
        <f>AG5+AG20+AG30+AG34+AG44+AG57+AG38+AG64</f>
        <v>0</v>
      </c>
      <c r="AH70" s="50">
        <f>IFERROR(AG70/AF70,0)</f>
        <v>0</v>
      </c>
      <c r="AI70" s="41">
        <f>AI5+AI20+AI30+AI34+AI44+AI57+AI38+AI64</f>
        <v>123076.6</v>
      </c>
      <c r="AJ70" s="41">
        <f>AJ5+AJ20+AJ30+AJ34+AJ44+AJ57+AJ38+AJ64</f>
        <v>0</v>
      </c>
      <c r="AK70" s="50">
        <f>IFERROR(AJ70/AI70,0)</f>
        <v>0</v>
      </c>
      <c r="AL70" s="41">
        <f>AL5+AL20+AL30+AL34+AL44+AL57+AL38+AL64</f>
        <v>123576.6</v>
      </c>
      <c r="AM70" s="41">
        <f>AM5+AM20+AM30+AM34+AM44+AM57+AM38+AM64</f>
        <v>172.49</v>
      </c>
      <c r="AN70" s="50">
        <f>IFERROR(AM70/AL70,0)</f>
        <v>1.3958144179399661E-3</v>
      </c>
      <c r="AO70" s="41">
        <f>AO5+AO20+AO30+AO34+AO44+AO57+AO38+AO64</f>
        <v>127076.6</v>
      </c>
      <c r="AP70" s="41">
        <f>AP5+AP20+AP30+AP34+AP44+AP57+AP38+AP64</f>
        <v>0</v>
      </c>
      <c r="AQ70" s="50">
        <f>IFERROR(AP70/AO70,0)</f>
        <v>0</v>
      </c>
      <c r="AR70" s="41">
        <f>AR5+AR20+AR30+AR34+AR44+AR57+AR38+AR64</f>
        <v>571626.4</v>
      </c>
      <c r="AS70" s="41">
        <f>AS5+AS20+AS30+AS34+AS44+AS57+AS38+AS64</f>
        <v>172.49</v>
      </c>
      <c r="AT70" s="50">
        <f>IFERROR(AS70/AR70,0)</f>
        <v>3.0175303309994079E-4</v>
      </c>
    </row>
    <row r="71" spans="2:46" ht="26" customHeight="1" x14ac:dyDescent="0.2">
      <c r="B71" s="125" t="s">
        <v>80</v>
      </c>
      <c r="C71" s="126"/>
      <c r="D71" s="179">
        <f>D70-E70</f>
        <v>53862.2</v>
      </c>
      <c r="E71" s="180"/>
      <c r="F71" s="179">
        <f>F70-G70</f>
        <v>59342.2</v>
      </c>
      <c r="G71" s="180"/>
      <c r="H71" s="179">
        <f>H70-I70</f>
        <v>84692.2</v>
      </c>
      <c r="I71" s="180"/>
      <c r="J71" s="179">
        <f>J70-K70</f>
        <v>41892.199999999997</v>
      </c>
      <c r="K71" s="180"/>
      <c r="L71" s="179">
        <f>L70-M70</f>
        <v>38992.199999999997</v>
      </c>
      <c r="M71" s="180"/>
      <c r="N71" s="179">
        <f>N70-O70</f>
        <v>42192.2</v>
      </c>
      <c r="O71" s="180"/>
      <c r="P71" s="179">
        <f>P70-Q70</f>
        <v>39219.71</v>
      </c>
      <c r="Q71" s="180"/>
      <c r="R71" s="179">
        <f>R70-S70</f>
        <v>44492.2</v>
      </c>
      <c r="S71" s="180"/>
      <c r="T71" s="179">
        <f>T70-U70</f>
        <v>39692.199999999997</v>
      </c>
      <c r="U71" s="180"/>
      <c r="V71" s="179">
        <f>V70-W70</f>
        <v>41892.199999999997</v>
      </c>
      <c r="W71" s="180"/>
      <c r="X71" s="179">
        <f>X70-Y70</f>
        <v>40992.199999999997</v>
      </c>
      <c r="Y71" s="180"/>
      <c r="Z71" s="179">
        <f>Z70-AA70</f>
        <v>44192.2</v>
      </c>
      <c r="AA71" s="180"/>
      <c r="AB71" s="54"/>
      <c r="AC71" s="127"/>
      <c r="AE71" s="9"/>
      <c r="AF71" s="179">
        <f>AF70-AG70</f>
        <v>197896.6</v>
      </c>
      <c r="AG71" s="180"/>
      <c r="AI71" s="179">
        <f>AI70-AJ70</f>
        <v>123076.6</v>
      </c>
      <c r="AJ71" s="180"/>
      <c r="AL71" s="179">
        <f>AL70-AM70</f>
        <v>123404.11</v>
      </c>
      <c r="AM71" s="180"/>
      <c r="AO71" s="179">
        <f>AO70-AP70</f>
        <v>127076.6</v>
      </c>
      <c r="AP71" s="180"/>
      <c r="AR71" s="179">
        <f>AR70-AS70</f>
        <v>571453.91</v>
      </c>
      <c r="AS71" s="180"/>
    </row>
    <row r="72" spans="2:46" ht="18" customHeight="1" x14ac:dyDescent="0.2">
      <c r="B72" s="186" t="s">
        <v>81</v>
      </c>
      <c r="C72" s="186"/>
      <c r="D72" s="188">
        <f>D70+F70+H70+J70+L70+N70+P70+R70+T70+V70+X70+Z70</f>
        <v>571626.4</v>
      </c>
      <c r="E72" s="189"/>
      <c r="F72" s="189"/>
      <c r="G72" s="189"/>
      <c r="H72" s="189"/>
      <c r="I72" s="189"/>
      <c r="J72" s="189"/>
      <c r="K72" s="189"/>
      <c r="L72" s="189"/>
      <c r="M72" s="189"/>
      <c r="N72" s="189"/>
      <c r="O72" s="189"/>
      <c r="P72" s="189"/>
      <c r="Q72" s="189"/>
      <c r="R72" s="189"/>
      <c r="S72" s="189"/>
      <c r="T72" s="189"/>
      <c r="U72" s="189"/>
      <c r="V72" s="189"/>
      <c r="W72" s="189"/>
      <c r="X72" s="189"/>
      <c r="Y72" s="189"/>
      <c r="Z72" s="189"/>
      <c r="AA72" s="189"/>
      <c r="AB72" s="190"/>
      <c r="AC72" s="187"/>
      <c r="AE72" s="9"/>
      <c r="AF72" s="9"/>
      <c r="AG72" s="9"/>
    </row>
    <row r="73" spans="2:46" ht="18" customHeight="1" x14ac:dyDescent="0.2">
      <c r="B73" s="186"/>
      <c r="C73" s="186"/>
      <c r="D73" s="191"/>
      <c r="E73" s="192"/>
      <c r="F73" s="192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2"/>
      <c r="V73" s="192"/>
      <c r="W73" s="192"/>
      <c r="X73" s="192"/>
      <c r="Y73" s="192"/>
      <c r="Z73" s="192"/>
      <c r="AA73" s="192"/>
      <c r="AB73" s="193"/>
      <c r="AC73" s="187"/>
      <c r="AE73" s="9"/>
      <c r="AF73" s="9"/>
      <c r="AG73" s="9"/>
    </row>
    <row r="74" spans="2:46" ht="18" customHeight="1" x14ac:dyDescent="0.2">
      <c r="B74" s="186" t="s">
        <v>82</v>
      </c>
      <c r="C74" s="186"/>
      <c r="D74" s="194">
        <f>E70+G70+I70+K70+M70+O70+Q70+S70+U70+W70+Y70+AA70</f>
        <v>172.49</v>
      </c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  <c r="AA74" s="195"/>
      <c r="AB74" s="196"/>
      <c r="AC74" s="187"/>
      <c r="AE74" s="9"/>
      <c r="AF74" s="9"/>
      <c r="AG74" s="9"/>
    </row>
    <row r="75" spans="2:46" ht="18" customHeight="1" x14ac:dyDescent="0.2">
      <c r="B75" s="186"/>
      <c r="C75" s="186"/>
      <c r="D75" s="197"/>
      <c r="E75" s="198"/>
      <c r="F75" s="198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8"/>
      <c r="AA75" s="198"/>
      <c r="AB75" s="199"/>
      <c r="AC75" s="187"/>
    </row>
    <row r="76" spans="2:46" ht="18" customHeight="1" x14ac:dyDescent="0.2">
      <c r="B76" s="186" t="s">
        <v>83</v>
      </c>
      <c r="C76" s="186"/>
      <c r="D76" s="200">
        <f>D72-D74</f>
        <v>571453.91</v>
      </c>
      <c r="E76" s="201"/>
      <c r="F76" s="201"/>
      <c r="G76" s="201"/>
      <c r="H76" s="201"/>
      <c r="I76" s="201"/>
      <c r="J76" s="201"/>
      <c r="K76" s="201"/>
      <c r="L76" s="201"/>
      <c r="M76" s="201"/>
      <c r="N76" s="201"/>
      <c r="O76" s="201"/>
      <c r="P76" s="201"/>
      <c r="Q76" s="201"/>
      <c r="R76" s="201"/>
      <c r="S76" s="201"/>
      <c r="T76" s="201"/>
      <c r="U76" s="201"/>
      <c r="V76" s="201"/>
      <c r="W76" s="201"/>
      <c r="X76" s="201"/>
      <c r="Y76" s="201"/>
      <c r="Z76" s="201"/>
      <c r="AA76" s="201"/>
      <c r="AB76" s="202"/>
      <c r="AC76" s="187"/>
    </row>
    <row r="77" spans="2:46" ht="18" customHeight="1" x14ac:dyDescent="0.2">
      <c r="B77" s="186"/>
      <c r="C77" s="186"/>
      <c r="D77" s="203"/>
      <c r="E77" s="204"/>
      <c r="F77" s="204"/>
      <c r="G77" s="204"/>
      <c r="H77" s="204"/>
      <c r="I77" s="204"/>
      <c r="J77" s="204"/>
      <c r="K77" s="204"/>
      <c r="L77" s="204"/>
      <c r="M77" s="204"/>
      <c r="N77" s="204"/>
      <c r="O77" s="204"/>
      <c r="P77" s="204"/>
      <c r="Q77" s="204"/>
      <c r="R77" s="204"/>
      <c r="S77" s="204"/>
      <c r="T77" s="204"/>
      <c r="U77" s="204"/>
      <c r="V77" s="204"/>
      <c r="W77" s="204"/>
      <c r="X77" s="204"/>
      <c r="Y77" s="204"/>
      <c r="Z77" s="204"/>
      <c r="AA77" s="204"/>
      <c r="AB77" s="205"/>
      <c r="AC77" s="187"/>
    </row>
    <row r="83" spans="1:31" ht="36" customHeight="1" x14ac:dyDescent="0.2">
      <c r="B83" s="184" t="s">
        <v>7</v>
      </c>
      <c r="C83" s="185"/>
      <c r="D83" s="181" t="s">
        <v>8</v>
      </c>
      <c r="E83" s="182"/>
      <c r="F83" s="181" t="s">
        <v>9</v>
      </c>
      <c r="G83" s="182"/>
      <c r="H83" s="181" t="s">
        <v>10</v>
      </c>
      <c r="I83" s="182"/>
      <c r="J83" s="181" t="s">
        <v>11</v>
      </c>
      <c r="K83" s="182"/>
      <c r="L83" s="181" t="s">
        <v>12</v>
      </c>
      <c r="M83" s="182"/>
      <c r="N83" s="181" t="s">
        <v>13</v>
      </c>
      <c r="O83" s="182"/>
      <c r="P83" s="181" t="s">
        <v>14</v>
      </c>
      <c r="Q83" s="182"/>
      <c r="R83" s="181" t="s">
        <v>15</v>
      </c>
      <c r="S83" s="182"/>
      <c r="T83" s="181" t="s">
        <v>16</v>
      </c>
      <c r="U83" s="182"/>
      <c r="V83" s="181" t="s">
        <v>17</v>
      </c>
      <c r="W83" s="182"/>
      <c r="X83" s="181" t="s">
        <v>18</v>
      </c>
      <c r="Y83" s="182"/>
      <c r="Z83" s="181" t="s">
        <v>19</v>
      </c>
      <c r="AA83" s="182"/>
      <c r="AB83" s="183"/>
      <c r="AC83" s="105" t="s">
        <v>20</v>
      </c>
    </row>
    <row r="84" spans="1:31" ht="26" customHeight="1" x14ac:dyDescent="0.2">
      <c r="B84" s="116" t="s">
        <v>84</v>
      </c>
      <c r="C84" s="117" t="s">
        <v>30</v>
      </c>
      <c r="D84" s="173"/>
      <c r="E84" s="173"/>
      <c r="F84" s="173"/>
      <c r="G84" s="173"/>
      <c r="H84" s="173"/>
      <c r="I84" s="173"/>
      <c r="J84" s="173"/>
      <c r="K84" s="173"/>
      <c r="L84" s="173"/>
      <c r="M84" s="173"/>
      <c r="N84" s="173"/>
      <c r="O84" s="173"/>
      <c r="P84" s="173"/>
      <c r="Q84" s="173"/>
      <c r="R84" s="173"/>
      <c r="S84" s="173"/>
      <c r="T84" s="173"/>
      <c r="U84" s="173"/>
      <c r="V84" s="173"/>
      <c r="W84" s="173"/>
      <c r="X84" s="173"/>
      <c r="Y84" s="173"/>
      <c r="Z84" s="173"/>
      <c r="AA84" s="173"/>
      <c r="AB84" s="50"/>
      <c r="AC84" s="118"/>
    </row>
    <row r="85" spans="1:31" ht="22.25" customHeight="1" x14ac:dyDescent="0.2">
      <c r="A85" s="128"/>
      <c r="B85" s="129"/>
      <c r="C85" s="129"/>
      <c r="D85" s="174"/>
      <c r="E85" s="175"/>
      <c r="F85" s="174"/>
      <c r="G85" s="175"/>
      <c r="H85" s="174"/>
      <c r="I85" s="176"/>
      <c r="J85" s="174"/>
      <c r="K85" s="176"/>
      <c r="L85" s="174"/>
      <c r="M85" s="177"/>
      <c r="N85" s="174"/>
      <c r="O85" s="177"/>
      <c r="P85" s="174"/>
      <c r="Q85" s="177"/>
      <c r="R85" s="174"/>
      <c r="S85" s="177"/>
      <c r="T85" s="174"/>
      <c r="U85" s="177"/>
      <c r="V85" s="174"/>
      <c r="W85" s="177"/>
      <c r="X85" s="174"/>
      <c r="Y85" s="177"/>
      <c r="Z85" s="174"/>
      <c r="AA85" s="177"/>
      <c r="AB85" s="108"/>
      <c r="AC85" s="106"/>
      <c r="AD85" s="128"/>
      <c r="AE85" s="128"/>
    </row>
    <row r="86" spans="1:31" ht="25" customHeight="1" x14ac:dyDescent="0.2">
      <c r="A86" s="128"/>
      <c r="B86" s="129"/>
      <c r="C86" s="129"/>
      <c r="D86" s="174"/>
      <c r="E86" s="175"/>
      <c r="F86" s="174"/>
      <c r="G86" s="175"/>
      <c r="H86" s="174"/>
      <c r="I86" s="176"/>
      <c r="J86" s="174"/>
      <c r="K86" s="176"/>
      <c r="L86" s="174"/>
      <c r="M86" s="177"/>
      <c r="N86" s="174"/>
      <c r="O86" s="177"/>
      <c r="P86" s="174"/>
      <c r="Q86" s="177"/>
      <c r="R86" s="174"/>
      <c r="S86" s="177"/>
      <c r="T86" s="174"/>
      <c r="U86" s="177"/>
      <c r="V86" s="174"/>
      <c r="W86" s="177"/>
      <c r="X86" s="174"/>
      <c r="Y86" s="177"/>
      <c r="Z86" s="174"/>
      <c r="AA86" s="177"/>
      <c r="AB86" s="108"/>
      <c r="AC86" s="106"/>
      <c r="AD86" s="128"/>
      <c r="AE86" s="128"/>
    </row>
    <row r="87" spans="1:31" ht="25" customHeight="1" x14ac:dyDescent="0.2">
      <c r="A87" s="128"/>
      <c r="B87" s="129"/>
      <c r="C87" s="129"/>
      <c r="D87" s="174"/>
      <c r="E87" s="175"/>
      <c r="F87" s="174"/>
      <c r="G87" s="175"/>
      <c r="H87" s="174"/>
      <c r="I87" s="176"/>
      <c r="J87" s="174"/>
      <c r="K87" s="176"/>
      <c r="L87" s="174"/>
      <c r="M87" s="177"/>
      <c r="N87" s="174"/>
      <c r="O87" s="177"/>
      <c r="P87" s="174"/>
      <c r="Q87" s="177"/>
      <c r="R87" s="174"/>
      <c r="S87" s="177"/>
      <c r="T87" s="174"/>
      <c r="U87" s="177"/>
      <c r="V87" s="174"/>
      <c r="W87" s="177"/>
      <c r="X87" s="174"/>
      <c r="Y87" s="177"/>
      <c r="Z87" s="174"/>
      <c r="AA87" s="177"/>
      <c r="AB87" s="108"/>
      <c r="AC87" s="106"/>
      <c r="AD87" s="128"/>
      <c r="AE87" s="128"/>
    </row>
    <row r="88" spans="1:31" ht="22.25" customHeight="1" x14ac:dyDescent="0.2">
      <c r="B88" s="129"/>
      <c r="C88" s="129"/>
      <c r="D88" s="174"/>
      <c r="E88" s="175"/>
      <c r="F88" s="174"/>
      <c r="G88" s="175"/>
      <c r="H88" s="174"/>
      <c r="I88" s="176"/>
      <c r="J88" s="174"/>
      <c r="K88" s="176"/>
      <c r="L88" s="174"/>
      <c r="M88" s="177"/>
      <c r="N88" s="174"/>
      <c r="O88" s="177"/>
      <c r="P88" s="174"/>
      <c r="Q88" s="177"/>
      <c r="R88" s="174"/>
      <c r="S88" s="177"/>
      <c r="T88" s="174"/>
      <c r="U88" s="177"/>
      <c r="V88" s="174"/>
      <c r="W88" s="177"/>
      <c r="X88" s="174"/>
      <c r="Y88" s="177"/>
      <c r="Z88" s="174"/>
      <c r="AA88" s="177"/>
      <c r="AB88" s="108"/>
      <c r="AC88" s="106"/>
    </row>
  </sheetData>
  <protectedRanges>
    <protectedRange sqref="B85:C87" name="Range2_3_1"/>
  </protectedRanges>
  <mergeCells count="60">
    <mergeCell ref="T3:U3"/>
    <mergeCell ref="V3:W3"/>
    <mergeCell ref="T71:U71"/>
    <mergeCell ref="D71:E71"/>
    <mergeCell ref="F71:G71"/>
    <mergeCell ref="H71:I71"/>
    <mergeCell ref="AC3:AC4"/>
    <mergeCell ref="D3:E3"/>
    <mergeCell ref="J71:K71"/>
    <mergeCell ref="L71:M71"/>
    <mergeCell ref="N71:O71"/>
    <mergeCell ref="P71:Q71"/>
    <mergeCell ref="R71:S71"/>
    <mergeCell ref="X3:Y3"/>
    <mergeCell ref="Z3:AB3"/>
    <mergeCell ref="F3:G3"/>
    <mergeCell ref="N3:O3"/>
    <mergeCell ref="P3:Q3"/>
    <mergeCell ref="R3:S3"/>
    <mergeCell ref="AC45:AC55"/>
    <mergeCell ref="V71:W71"/>
    <mergeCell ref="X71:Y71"/>
    <mergeCell ref="B3:C3"/>
    <mergeCell ref="B4:C4"/>
    <mergeCell ref="H3:I3"/>
    <mergeCell ref="J3:K3"/>
    <mergeCell ref="L3:M3"/>
    <mergeCell ref="B76:C77"/>
    <mergeCell ref="AC76:AC77"/>
    <mergeCell ref="D72:AB73"/>
    <mergeCell ref="D74:AB75"/>
    <mergeCell ref="D76:AB77"/>
    <mergeCell ref="AC72:AC73"/>
    <mergeCell ref="B74:C75"/>
    <mergeCell ref="AC74:AC75"/>
    <mergeCell ref="B72:C73"/>
    <mergeCell ref="AF3:AH3"/>
    <mergeCell ref="AI3:AK3"/>
    <mergeCell ref="AL3:AN3"/>
    <mergeCell ref="AO3:AQ3"/>
    <mergeCell ref="AR3:AT3"/>
    <mergeCell ref="AF71:AG71"/>
    <mergeCell ref="AI71:AJ71"/>
    <mergeCell ref="AL71:AM71"/>
    <mergeCell ref="AO71:AP71"/>
    <mergeCell ref="AR71:AS71"/>
    <mergeCell ref="B83:C83"/>
    <mergeCell ref="D83:E83"/>
    <mergeCell ref="F83:G83"/>
    <mergeCell ref="H83:I83"/>
    <mergeCell ref="J83:K83"/>
    <mergeCell ref="Z71:AA71"/>
    <mergeCell ref="V83:W83"/>
    <mergeCell ref="X83:Y83"/>
    <mergeCell ref="Z83:AB83"/>
    <mergeCell ref="L83:M83"/>
    <mergeCell ref="N83:O83"/>
    <mergeCell ref="P83:Q83"/>
    <mergeCell ref="R83:S83"/>
    <mergeCell ref="T83:U83"/>
  </mergeCells>
  <pageMargins left="0.19" right="0.2" top="0.75" bottom="0.75" header="0.3" footer="0.3"/>
  <pageSetup paperSize="8" scale="3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504FE-200F-4003-B690-DAE69E981868}">
  <sheetPr>
    <tabColor theme="7" tint="0.59999389629810485"/>
  </sheetPr>
  <dimension ref="A2:L780"/>
  <sheetViews>
    <sheetView showGridLines="0" zoomScale="90" zoomScaleNormal="90" workbookViewId="0">
      <pane ySplit="4" topLeftCell="A156" activePane="bottomLeft" state="frozen"/>
      <selection activeCell="B19" sqref="B19"/>
      <selection pane="bottomLeft" activeCell="F167" sqref="F167"/>
    </sheetView>
  </sheetViews>
  <sheetFormatPr baseColWidth="10" defaultColWidth="8.1640625" defaultRowHeight="13" x14ac:dyDescent="0.2"/>
  <cols>
    <col min="1" max="1" width="9.1640625" style="98" customWidth="1"/>
    <col min="2" max="2" width="17.6640625" style="56" customWidth="1"/>
    <col min="3" max="3" width="9" style="137" customWidth="1"/>
    <col min="4" max="5" width="15.33203125" style="56" customWidth="1"/>
    <col min="6" max="6" width="55.1640625" style="99" customWidth="1"/>
    <col min="7" max="7" width="36.5" style="56" bestFit="1" customWidth="1"/>
    <col min="8" max="8" width="27" style="57" customWidth="1"/>
    <col min="9" max="9" width="22.6640625" style="58" customWidth="1"/>
    <col min="10" max="10" width="42.5" style="56" bestFit="1" customWidth="1"/>
    <col min="11" max="11" width="12.6640625" style="58" customWidth="1"/>
    <col min="12" max="12" width="60.1640625" style="99" customWidth="1"/>
    <col min="13" max="16384" width="8.1640625" style="56"/>
  </cols>
  <sheetData>
    <row r="2" spans="1:12" ht="48" customHeight="1" x14ac:dyDescent="0.2">
      <c r="A2" s="1" t="s">
        <v>148</v>
      </c>
      <c r="B2" s="1"/>
      <c r="C2" s="136"/>
      <c r="D2" s="1"/>
      <c r="E2" s="1"/>
      <c r="F2" s="1"/>
      <c r="G2" s="1"/>
      <c r="H2" s="1"/>
      <c r="I2" s="1"/>
      <c r="J2" s="1"/>
      <c r="K2" s="1"/>
      <c r="L2" s="55"/>
    </row>
    <row r="3" spans="1:12" ht="15" customHeight="1" x14ac:dyDescent="0.2">
      <c r="A3" s="57"/>
      <c r="B3" s="57"/>
      <c r="D3" s="57"/>
      <c r="E3" s="57"/>
      <c r="F3" s="57"/>
      <c r="G3" s="57"/>
      <c r="J3" s="57"/>
      <c r="L3" s="57"/>
    </row>
    <row r="4" spans="1:12" s="59" customFormat="1" ht="57" x14ac:dyDescent="0.2">
      <c r="A4" s="101" t="s">
        <v>85</v>
      </c>
      <c r="B4" s="102" t="s">
        <v>86</v>
      </c>
      <c r="C4" s="138" t="s">
        <v>87</v>
      </c>
      <c r="D4" s="103" t="s">
        <v>88</v>
      </c>
      <c r="E4" s="103" t="s">
        <v>123</v>
      </c>
      <c r="F4" s="103" t="s">
        <v>89</v>
      </c>
      <c r="G4" s="103" t="s">
        <v>90</v>
      </c>
      <c r="H4" s="102" t="s">
        <v>91</v>
      </c>
      <c r="I4" s="104" t="s">
        <v>92</v>
      </c>
      <c r="J4" s="103" t="s">
        <v>93</v>
      </c>
      <c r="K4" s="104" t="s">
        <v>94</v>
      </c>
      <c r="L4" s="103" t="s">
        <v>95</v>
      </c>
    </row>
    <row r="5" spans="1:12" ht="18.5" customHeight="1" x14ac:dyDescent="0.2">
      <c r="A5" s="60"/>
      <c r="B5" s="61"/>
      <c r="C5" s="139"/>
      <c r="D5" s="63"/>
      <c r="E5" s="63"/>
      <c r="F5" s="64"/>
      <c r="G5" s="65"/>
      <c r="H5" s="65"/>
      <c r="I5" s="66"/>
      <c r="J5" s="61"/>
      <c r="K5" s="67"/>
      <c r="L5" s="64"/>
    </row>
    <row r="6" spans="1:12" ht="18.5" customHeight="1" x14ac:dyDescent="0.2">
      <c r="A6" s="60"/>
      <c r="B6" s="61"/>
      <c r="C6" s="139"/>
      <c r="D6" s="63"/>
      <c r="E6" s="63"/>
      <c r="F6" s="64"/>
      <c r="G6" s="65"/>
      <c r="H6" s="148"/>
      <c r="I6" s="66"/>
      <c r="J6" s="61"/>
      <c r="K6" s="67"/>
      <c r="L6" s="64"/>
    </row>
    <row r="7" spans="1:12" ht="18.5" customHeight="1" x14ac:dyDescent="0.2">
      <c r="A7" s="60"/>
      <c r="B7" s="61"/>
      <c r="C7" s="139"/>
      <c r="D7" s="63"/>
      <c r="E7" s="63"/>
      <c r="F7" s="64"/>
      <c r="G7" s="65"/>
      <c r="H7" s="65"/>
      <c r="I7" s="66"/>
      <c r="J7" s="61"/>
      <c r="K7" s="67"/>
      <c r="L7" s="64"/>
    </row>
    <row r="8" spans="1:12" ht="18.5" customHeight="1" x14ac:dyDescent="0.2">
      <c r="A8" s="60"/>
      <c r="B8" s="61"/>
      <c r="C8" s="139"/>
      <c r="D8" s="63"/>
      <c r="E8" s="63"/>
      <c r="F8" s="64"/>
      <c r="G8" s="65"/>
      <c r="H8" s="65"/>
      <c r="I8" s="66"/>
      <c r="J8" s="61"/>
      <c r="K8" s="67"/>
      <c r="L8" s="64"/>
    </row>
    <row r="9" spans="1:12" ht="18.5" customHeight="1" x14ac:dyDescent="0.2">
      <c r="A9" s="60"/>
      <c r="B9" s="61"/>
      <c r="C9" s="139"/>
      <c r="D9" s="63"/>
      <c r="E9" s="63"/>
      <c r="F9" s="64"/>
      <c r="G9" s="65"/>
      <c r="H9" s="148"/>
      <c r="I9" s="66"/>
      <c r="J9" s="61"/>
      <c r="K9" s="67"/>
      <c r="L9" s="64"/>
    </row>
    <row r="10" spans="1:12" ht="18.5" customHeight="1" x14ac:dyDescent="0.2">
      <c r="A10" s="60"/>
      <c r="B10" s="61"/>
      <c r="C10" s="139"/>
      <c r="D10" s="63"/>
      <c r="E10" s="63"/>
      <c r="F10" s="64"/>
      <c r="G10" s="65"/>
      <c r="H10" s="148"/>
      <c r="I10" s="66"/>
      <c r="J10" s="61"/>
      <c r="K10" s="67"/>
      <c r="L10" s="64"/>
    </row>
    <row r="11" spans="1:12" ht="18.5" customHeight="1" x14ac:dyDescent="0.2">
      <c r="A11" s="60"/>
      <c r="B11" s="61"/>
      <c r="C11" s="139"/>
      <c r="D11" s="63"/>
      <c r="E11" s="63"/>
      <c r="F11" s="64"/>
      <c r="G11" s="65"/>
      <c r="H11" s="148"/>
      <c r="I11" s="66"/>
      <c r="J11" s="61"/>
      <c r="K11" s="67"/>
      <c r="L11" s="158"/>
    </row>
    <row r="12" spans="1:12" ht="18.5" customHeight="1" x14ac:dyDescent="0.2">
      <c r="A12" s="60"/>
      <c r="B12" s="61"/>
      <c r="C12" s="139"/>
      <c r="D12" s="63"/>
      <c r="E12" s="63"/>
      <c r="F12" s="64"/>
      <c r="G12" s="65"/>
      <c r="H12" s="65"/>
      <c r="I12" s="66"/>
      <c r="J12" s="61"/>
      <c r="K12" s="67"/>
      <c r="L12" s="64"/>
    </row>
    <row r="13" spans="1:12" ht="18.5" customHeight="1" x14ac:dyDescent="0.2">
      <c r="A13" s="60"/>
      <c r="B13" s="61"/>
      <c r="C13" s="139"/>
      <c r="D13" s="63"/>
      <c r="E13" s="63"/>
      <c r="F13" s="64"/>
      <c r="G13" s="65"/>
      <c r="H13" s="65"/>
      <c r="I13" s="66"/>
      <c r="J13" s="61"/>
      <c r="K13" s="67"/>
      <c r="L13" s="64"/>
    </row>
    <row r="14" spans="1:12" ht="18.5" customHeight="1" x14ac:dyDescent="0.2">
      <c r="A14" s="60"/>
      <c r="B14" s="61"/>
      <c r="C14" s="139"/>
      <c r="D14" s="63"/>
      <c r="E14" s="63"/>
      <c r="F14" s="64"/>
      <c r="G14" s="65"/>
      <c r="H14" s="65"/>
      <c r="I14" s="66"/>
      <c r="J14" s="61"/>
      <c r="K14" s="67"/>
      <c r="L14" s="64"/>
    </row>
    <row r="15" spans="1:12" ht="18.5" customHeight="1" x14ac:dyDescent="0.2">
      <c r="A15" s="60"/>
      <c r="B15" s="61"/>
      <c r="C15" s="139"/>
      <c r="D15" s="63"/>
      <c r="E15" s="63"/>
      <c r="F15" s="64"/>
      <c r="G15" s="65"/>
      <c r="H15" s="65"/>
      <c r="I15" s="66"/>
      <c r="J15" s="61"/>
      <c r="K15" s="67"/>
      <c r="L15" s="64"/>
    </row>
    <row r="16" spans="1:12" x14ac:dyDescent="0.2">
      <c r="A16" s="60"/>
      <c r="B16" s="61"/>
      <c r="C16" s="139"/>
      <c r="D16" s="63"/>
      <c r="E16" s="63"/>
      <c r="F16" s="64"/>
      <c r="G16" s="65"/>
      <c r="H16" s="65"/>
      <c r="I16" s="66"/>
      <c r="J16" s="61"/>
      <c r="K16" s="67"/>
      <c r="L16" s="70"/>
    </row>
    <row r="17" spans="1:12" ht="18.5" customHeight="1" x14ac:dyDescent="0.2">
      <c r="A17" s="60"/>
      <c r="B17" s="61"/>
      <c r="C17" s="139"/>
      <c r="D17" s="63"/>
      <c r="E17" s="63"/>
      <c r="F17" s="64"/>
      <c r="G17" s="65"/>
      <c r="H17" s="65"/>
      <c r="I17" s="66"/>
      <c r="J17" s="61"/>
      <c r="K17" s="67"/>
      <c r="L17" s="70"/>
    </row>
    <row r="18" spans="1:12" ht="18.5" customHeight="1" x14ac:dyDescent="0.2">
      <c r="A18" s="60"/>
      <c r="B18" s="61"/>
      <c r="C18" s="139"/>
      <c r="D18" s="63"/>
      <c r="E18" s="63"/>
      <c r="F18" s="64"/>
      <c r="G18" s="65"/>
      <c r="H18" s="65"/>
      <c r="I18" s="66"/>
      <c r="J18" s="61"/>
      <c r="K18" s="67"/>
      <c r="L18" s="64"/>
    </row>
    <row r="19" spans="1:12" ht="18.5" customHeight="1" x14ac:dyDescent="0.2">
      <c r="A19" s="60"/>
      <c r="B19" s="61"/>
      <c r="C19" s="139"/>
      <c r="D19" s="63"/>
      <c r="E19" s="63"/>
      <c r="F19" s="64"/>
      <c r="G19" s="65"/>
      <c r="H19" s="65"/>
      <c r="I19" s="66"/>
      <c r="J19" s="61"/>
      <c r="K19" s="67"/>
      <c r="L19" s="64"/>
    </row>
    <row r="20" spans="1:12" ht="18.5" customHeight="1" x14ac:dyDescent="0.2">
      <c r="A20" s="60"/>
      <c r="B20" s="61"/>
      <c r="C20" s="139"/>
      <c r="D20" s="63"/>
      <c r="E20" s="63"/>
      <c r="F20" s="64"/>
      <c r="G20" s="65"/>
      <c r="H20" s="65"/>
      <c r="I20" s="66"/>
      <c r="J20" s="61"/>
      <c r="K20" s="67"/>
      <c r="L20" s="64"/>
    </row>
    <row r="21" spans="1:12" ht="18.5" customHeight="1" x14ac:dyDescent="0.2">
      <c r="A21" s="60"/>
      <c r="B21" s="61"/>
      <c r="C21" s="139"/>
      <c r="D21" s="63"/>
      <c r="E21" s="63"/>
      <c r="F21" s="64"/>
      <c r="G21" s="65"/>
      <c r="H21" s="65"/>
      <c r="I21" s="66"/>
      <c r="J21" s="61"/>
      <c r="K21" s="67"/>
      <c r="L21" s="64"/>
    </row>
    <row r="22" spans="1:12" ht="18.5" customHeight="1" x14ac:dyDescent="0.2">
      <c r="A22" s="60"/>
      <c r="B22" s="61"/>
      <c r="C22" s="139"/>
      <c r="D22" s="63"/>
      <c r="E22" s="63"/>
      <c r="F22" s="64"/>
      <c r="G22" s="65"/>
      <c r="H22" s="148"/>
      <c r="I22" s="66"/>
      <c r="J22" s="61"/>
      <c r="K22" s="67"/>
      <c r="L22" s="64"/>
    </row>
    <row r="23" spans="1:12" ht="18.5" customHeight="1" x14ac:dyDescent="0.2">
      <c r="A23" s="60"/>
      <c r="B23" s="61"/>
      <c r="C23" s="139"/>
      <c r="D23" s="63"/>
      <c r="E23" s="63"/>
      <c r="F23" s="64"/>
      <c r="G23" s="65"/>
      <c r="H23" s="65"/>
      <c r="I23" s="66"/>
      <c r="J23" s="61"/>
      <c r="K23" s="67"/>
      <c r="L23" s="64"/>
    </row>
    <row r="24" spans="1:12" ht="18.5" customHeight="1" x14ac:dyDescent="0.2">
      <c r="A24" s="60"/>
      <c r="B24" s="61"/>
      <c r="C24" s="139"/>
      <c r="D24" s="63"/>
      <c r="E24" s="63"/>
      <c r="F24" s="64"/>
      <c r="G24" s="65"/>
      <c r="H24" s="65"/>
      <c r="I24" s="66"/>
      <c r="J24" s="61"/>
      <c r="K24" s="67"/>
      <c r="L24" s="64"/>
    </row>
    <row r="25" spans="1:12" ht="18.5" customHeight="1" x14ac:dyDescent="0.2">
      <c r="A25" s="60"/>
      <c r="B25" s="61"/>
      <c r="C25" s="139"/>
      <c r="D25" s="63"/>
      <c r="E25" s="63"/>
      <c r="F25" s="64"/>
      <c r="G25" s="65"/>
      <c r="H25" s="65"/>
      <c r="I25" s="66"/>
      <c r="J25" s="61"/>
      <c r="K25" s="67"/>
      <c r="L25" s="64"/>
    </row>
    <row r="26" spans="1:12" ht="18.5" customHeight="1" x14ac:dyDescent="0.2">
      <c r="A26" s="60"/>
      <c r="B26" s="61"/>
      <c r="C26" s="139"/>
      <c r="D26" s="63"/>
      <c r="E26" s="63"/>
      <c r="F26" s="64"/>
      <c r="G26" s="65"/>
      <c r="H26" s="65"/>
      <c r="I26" s="66"/>
      <c r="J26" s="61"/>
      <c r="K26" s="67"/>
      <c r="L26" s="64"/>
    </row>
    <row r="27" spans="1:12" ht="18.5" customHeight="1" x14ac:dyDescent="0.2">
      <c r="A27" s="60"/>
      <c r="B27" s="61"/>
      <c r="C27" s="139"/>
      <c r="D27" s="63"/>
      <c r="E27" s="63"/>
      <c r="F27" s="64"/>
      <c r="G27" s="65"/>
      <c r="H27" s="65"/>
      <c r="I27" s="66"/>
      <c r="J27" s="61"/>
      <c r="K27" s="67"/>
      <c r="L27" s="64"/>
    </row>
    <row r="28" spans="1:12" ht="18.5" customHeight="1" x14ac:dyDescent="0.2">
      <c r="A28" s="60"/>
      <c r="B28" s="61"/>
      <c r="C28" s="139"/>
      <c r="D28" s="63"/>
      <c r="E28" s="63"/>
      <c r="F28" s="64"/>
      <c r="G28" s="65"/>
      <c r="H28" s="65"/>
      <c r="I28" s="66"/>
      <c r="J28" s="61"/>
      <c r="K28" s="67"/>
      <c r="L28" s="64"/>
    </row>
    <row r="29" spans="1:12" ht="18.5" customHeight="1" x14ac:dyDescent="0.2">
      <c r="A29" s="60"/>
      <c r="B29" s="61"/>
      <c r="C29" s="139"/>
      <c r="D29" s="63"/>
      <c r="E29" s="63"/>
      <c r="F29" s="64"/>
      <c r="G29" s="65"/>
      <c r="H29" s="148"/>
      <c r="I29" s="66"/>
      <c r="J29" s="61"/>
      <c r="K29" s="67"/>
      <c r="L29" s="64"/>
    </row>
    <row r="30" spans="1:12" ht="18.5" customHeight="1" x14ac:dyDescent="0.2">
      <c r="A30" s="60"/>
      <c r="B30" s="61"/>
      <c r="C30" s="139"/>
      <c r="D30" s="63"/>
      <c r="E30" s="63"/>
      <c r="F30" s="64"/>
      <c r="G30" s="65"/>
      <c r="H30" s="148"/>
      <c r="I30" s="66"/>
      <c r="J30" s="61"/>
      <c r="K30" s="67"/>
      <c r="L30" s="64"/>
    </row>
    <row r="31" spans="1:12" ht="18.5" customHeight="1" x14ac:dyDescent="0.2">
      <c r="A31" s="60"/>
      <c r="B31" s="61"/>
      <c r="C31" s="139"/>
      <c r="D31" s="63"/>
      <c r="E31" s="63"/>
      <c r="F31" s="64"/>
      <c r="G31" s="65"/>
      <c r="H31" s="148"/>
      <c r="I31" s="66"/>
      <c r="J31" s="61"/>
      <c r="K31" s="67"/>
      <c r="L31" s="64"/>
    </row>
    <row r="32" spans="1:12" ht="18.5" customHeight="1" x14ac:dyDescent="0.2">
      <c r="A32" s="60"/>
      <c r="B32" s="61"/>
      <c r="C32" s="139"/>
      <c r="D32" s="63"/>
      <c r="E32" s="63"/>
      <c r="F32" s="64"/>
      <c r="G32" s="65"/>
      <c r="H32" s="65"/>
      <c r="I32" s="66"/>
      <c r="J32" s="61"/>
      <c r="K32" s="67"/>
      <c r="L32" s="68"/>
    </row>
    <row r="33" spans="1:12" ht="18.5" customHeight="1" x14ac:dyDescent="0.2">
      <c r="A33" s="60"/>
      <c r="B33" s="61"/>
      <c r="C33" s="139"/>
      <c r="D33" s="63"/>
      <c r="E33" s="63"/>
      <c r="F33" s="64"/>
      <c r="G33" s="65"/>
      <c r="H33" s="65"/>
      <c r="I33" s="66"/>
      <c r="J33" s="61"/>
      <c r="K33" s="67"/>
      <c r="L33" s="64"/>
    </row>
    <row r="34" spans="1:12" ht="18.5" customHeight="1" x14ac:dyDescent="0.2">
      <c r="A34" s="60"/>
      <c r="B34" s="61"/>
      <c r="C34" s="139"/>
      <c r="D34" s="63"/>
      <c r="E34" s="63"/>
      <c r="F34" s="64"/>
      <c r="G34" s="65"/>
      <c r="H34" s="148"/>
      <c r="I34" s="66"/>
      <c r="J34" s="61"/>
      <c r="K34" s="67"/>
      <c r="L34" s="64"/>
    </row>
    <row r="35" spans="1:12" ht="18.5" customHeight="1" x14ac:dyDescent="0.2">
      <c r="A35" s="60"/>
      <c r="B35" s="61"/>
      <c r="C35" s="139"/>
      <c r="D35" s="63"/>
      <c r="E35" s="63"/>
      <c r="F35" s="64"/>
      <c r="G35" s="65"/>
      <c r="H35" s="148"/>
      <c r="I35" s="66"/>
      <c r="J35" s="61"/>
      <c r="K35" s="67"/>
      <c r="L35" s="64"/>
    </row>
    <row r="36" spans="1:12" ht="18.5" customHeight="1" x14ac:dyDescent="0.2">
      <c r="A36" s="60"/>
      <c r="B36" s="61"/>
      <c r="C36" s="139"/>
      <c r="D36" s="63"/>
      <c r="E36" s="63"/>
      <c r="F36" s="64"/>
      <c r="G36" s="65"/>
      <c r="H36" s="65"/>
      <c r="I36" s="66"/>
      <c r="J36" s="61"/>
      <c r="K36" s="67"/>
      <c r="L36" s="64"/>
    </row>
    <row r="37" spans="1:12" ht="18.5" customHeight="1" x14ac:dyDescent="0.2">
      <c r="A37" s="60"/>
      <c r="B37" s="61"/>
      <c r="C37" s="139"/>
      <c r="D37" s="63"/>
      <c r="E37" s="63"/>
      <c r="F37" s="64"/>
      <c r="G37" s="65"/>
      <c r="H37" s="65"/>
      <c r="I37" s="66"/>
      <c r="J37" s="61"/>
      <c r="K37" s="67"/>
      <c r="L37" s="64"/>
    </row>
    <row r="38" spans="1:12" ht="16" customHeight="1" x14ac:dyDescent="0.2">
      <c r="A38" s="60"/>
      <c r="B38" s="61"/>
      <c r="C38" s="139"/>
      <c r="D38" s="63"/>
      <c r="E38" s="63"/>
      <c r="F38" s="64"/>
      <c r="G38" s="65"/>
      <c r="H38" s="148"/>
      <c r="I38" s="66"/>
      <c r="J38" s="61"/>
      <c r="K38" s="67"/>
      <c r="L38" s="68"/>
    </row>
    <row r="39" spans="1:12" ht="18.5" customHeight="1" x14ac:dyDescent="0.2">
      <c r="A39" s="60"/>
      <c r="B39" s="61"/>
      <c r="C39" s="139"/>
      <c r="D39" s="63"/>
      <c r="E39" s="63"/>
      <c r="F39" s="64"/>
      <c r="G39" s="65"/>
      <c r="H39" s="148"/>
      <c r="I39" s="66"/>
      <c r="J39" s="61"/>
      <c r="K39" s="67"/>
      <c r="L39" s="64"/>
    </row>
    <row r="40" spans="1:12" ht="18.5" customHeight="1" x14ac:dyDescent="0.2">
      <c r="A40" s="60"/>
      <c r="B40" s="61"/>
      <c r="C40" s="139"/>
      <c r="D40" s="63"/>
      <c r="E40" s="63"/>
      <c r="F40" s="64"/>
      <c r="G40" s="65"/>
      <c r="H40" s="65"/>
      <c r="I40" s="66"/>
      <c r="J40" s="61"/>
      <c r="K40" s="67"/>
      <c r="L40" s="64"/>
    </row>
    <row r="41" spans="1:12" ht="18.5" customHeight="1" x14ac:dyDescent="0.2">
      <c r="A41" s="60"/>
      <c r="B41" s="61"/>
      <c r="C41" s="139"/>
      <c r="D41" s="63"/>
      <c r="E41" s="63"/>
      <c r="F41" s="64"/>
      <c r="G41" s="65"/>
      <c r="H41" s="148"/>
      <c r="I41" s="66"/>
      <c r="J41" s="61"/>
      <c r="K41" s="67"/>
      <c r="L41" s="64"/>
    </row>
    <row r="42" spans="1:12" ht="18.5" customHeight="1" x14ac:dyDescent="0.2">
      <c r="A42" s="60"/>
      <c r="B42" s="61"/>
      <c r="C42" s="139"/>
      <c r="D42" s="63"/>
      <c r="E42" s="63"/>
      <c r="F42" s="64"/>
      <c r="G42" s="65"/>
      <c r="H42" s="65"/>
      <c r="I42" s="66"/>
      <c r="J42" s="61"/>
      <c r="K42" s="67"/>
      <c r="L42" s="64"/>
    </row>
    <row r="43" spans="1:12" ht="18.5" customHeight="1" x14ac:dyDescent="0.2">
      <c r="A43" s="60"/>
      <c r="B43" s="61"/>
      <c r="C43" s="139"/>
      <c r="D43" s="63"/>
      <c r="E43" s="63"/>
      <c r="F43" s="64"/>
      <c r="G43" s="65"/>
      <c r="H43" s="65"/>
      <c r="I43" s="66"/>
      <c r="J43" s="61"/>
      <c r="K43" s="67"/>
      <c r="L43" s="64"/>
    </row>
    <row r="44" spans="1:12" ht="18.5" customHeight="1" x14ac:dyDescent="0.2">
      <c r="A44" s="60"/>
      <c r="B44" s="61"/>
      <c r="C44" s="139"/>
      <c r="D44" s="63"/>
      <c r="E44" s="63"/>
      <c r="F44" s="64"/>
      <c r="G44" s="65"/>
      <c r="H44" s="65"/>
      <c r="I44" s="66"/>
      <c r="J44" s="61"/>
      <c r="K44" s="67"/>
      <c r="L44" s="64"/>
    </row>
    <row r="45" spans="1:12" ht="18.5" customHeight="1" x14ac:dyDescent="0.2">
      <c r="A45" s="60"/>
      <c r="B45" s="61"/>
      <c r="C45" s="139"/>
      <c r="D45" s="63"/>
      <c r="E45" s="63"/>
      <c r="F45" s="64"/>
      <c r="G45" s="65"/>
      <c r="H45" s="148"/>
      <c r="I45" s="66"/>
      <c r="J45" s="61"/>
      <c r="K45" s="67"/>
      <c r="L45" s="64"/>
    </row>
    <row r="46" spans="1:12" ht="18.5" customHeight="1" x14ac:dyDescent="0.2">
      <c r="A46" s="60"/>
      <c r="B46" s="61"/>
      <c r="C46" s="139"/>
      <c r="D46" s="63"/>
      <c r="E46" s="63"/>
      <c r="F46" s="64"/>
      <c r="G46" s="65"/>
      <c r="H46" s="65"/>
      <c r="I46" s="66"/>
      <c r="J46" s="61"/>
      <c r="K46" s="67"/>
      <c r="L46" s="69"/>
    </row>
    <row r="47" spans="1:12" ht="18.5" customHeight="1" x14ac:dyDescent="0.2">
      <c r="A47" s="60"/>
      <c r="B47" s="61"/>
      <c r="C47" s="139"/>
      <c r="D47" s="63"/>
      <c r="E47" s="63"/>
      <c r="F47" s="64"/>
      <c r="G47" s="65"/>
      <c r="H47" s="65"/>
      <c r="I47" s="66"/>
      <c r="J47" s="61"/>
      <c r="K47" s="67"/>
      <c r="L47" s="64"/>
    </row>
    <row r="48" spans="1:12" ht="18.5" customHeight="1" x14ac:dyDescent="0.2">
      <c r="A48" s="60"/>
      <c r="B48" s="61"/>
      <c r="C48" s="139"/>
      <c r="D48" s="63"/>
      <c r="E48" s="63"/>
      <c r="F48" s="64"/>
      <c r="G48" s="65"/>
      <c r="H48" s="65"/>
      <c r="I48" s="66"/>
      <c r="J48" s="61"/>
      <c r="K48" s="67"/>
      <c r="L48" s="64"/>
    </row>
    <row r="49" spans="1:12" ht="18.5" customHeight="1" x14ac:dyDescent="0.2">
      <c r="A49" s="60"/>
      <c r="B49" s="61"/>
      <c r="C49" s="139"/>
      <c r="D49" s="63"/>
      <c r="E49" s="63"/>
      <c r="F49" s="64"/>
      <c r="G49" s="65"/>
      <c r="H49" s="148"/>
      <c r="I49" s="66"/>
      <c r="J49" s="61"/>
      <c r="K49" s="67"/>
      <c r="L49" s="64"/>
    </row>
    <row r="50" spans="1:12" ht="18.5" customHeight="1" x14ac:dyDescent="0.2">
      <c r="A50" s="60"/>
      <c r="B50" s="61"/>
      <c r="C50" s="139"/>
      <c r="D50" s="63"/>
      <c r="E50" s="63"/>
      <c r="F50" s="64"/>
      <c r="G50" s="65"/>
      <c r="H50" s="65"/>
      <c r="I50" s="66"/>
      <c r="J50" s="61"/>
      <c r="K50" s="67"/>
      <c r="L50" s="64"/>
    </row>
    <row r="51" spans="1:12" ht="18.5" customHeight="1" x14ac:dyDescent="0.2">
      <c r="A51" s="60"/>
      <c r="B51" s="61"/>
      <c r="C51" s="139"/>
      <c r="D51" s="63"/>
      <c r="E51" s="63"/>
      <c r="F51" s="64"/>
      <c r="G51" s="65"/>
      <c r="H51" s="65"/>
      <c r="I51" s="66"/>
      <c r="J51" s="61"/>
      <c r="K51" s="67"/>
      <c r="L51" s="64"/>
    </row>
    <row r="52" spans="1:12" ht="18.5" customHeight="1" x14ac:dyDescent="0.2">
      <c r="A52" s="60"/>
      <c r="B52" s="61"/>
      <c r="C52" s="139"/>
      <c r="D52" s="63"/>
      <c r="E52" s="63"/>
      <c r="F52" s="64"/>
      <c r="G52" s="65"/>
      <c r="H52" s="148"/>
      <c r="I52" s="66"/>
      <c r="J52" s="61"/>
      <c r="K52" s="67"/>
      <c r="L52" s="64"/>
    </row>
    <row r="53" spans="1:12" ht="18.5" customHeight="1" x14ac:dyDescent="0.2">
      <c r="A53" s="60"/>
      <c r="B53" s="61"/>
      <c r="C53" s="139"/>
      <c r="D53" s="63"/>
      <c r="E53" s="63"/>
      <c r="F53" s="64"/>
      <c r="G53" s="65"/>
      <c r="H53" s="148"/>
      <c r="I53" s="66"/>
      <c r="J53" s="61"/>
      <c r="K53" s="67"/>
      <c r="L53" s="64"/>
    </row>
    <row r="54" spans="1:12" ht="18.5" customHeight="1" x14ac:dyDescent="0.2">
      <c r="A54" s="60"/>
      <c r="B54" s="61"/>
      <c r="C54" s="139"/>
      <c r="D54" s="63"/>
      <c r="E54" s="63"/>
      <c r="F54" s="64"/>
      <c r="G54" s="65"/>
      <c r="H54" s="148"/>
      <c r="I54" s="66"/>
      <c r="J54" s="61"/>
      <c r="K54" s="67"/>
      <c r="L54" s="64"/>
    </row>
    <row r="55" spans="1:12" ht="18.5" customHeight="1" x14ac:dyDescent="0.2">
      <c r="A55" s="60"/>
      <c r="B55" s="61"/>
      <c r="C55" s="139"/>
      <c r="D55" s="63"/>
      <c r="E55" s="63"/>
      <c r="F55" s="64"/>
      <c r="G55" s="65"/>
      <c r="H55" s="148"/>
      <c r="I55" s="66"/>
      <c r="J55" s="61"/>
      <c r="K55" s="67"/>
      <c r="L55" s="64"/>
    </row>
    <row r="56" spans="1:12" ht="18.5" customHeight="1" x14ac:dyDescent="0.2">
      <c r="A56" s="60"/>
      <c r="B56" s="61"/>
      <c r="C56" s="139"/>
      <c r="D56" s="63"/>
      <c r="E56" s="63"/>
      <c r="F56" s="64"/>
      <c r="G56" s="65"/>
      <c r="H56" s="148"/>
      <c r="I56" s="66"/>
      <c r="J56" s="61"/>
      <c r="K56" s="67"/>
      <c r="L56" s="64"/>
    </row>
    <row r="57" spans="1:12" ht="18.5" customHeight="1" x14ac:dyDescent="0.2">
      <c r="A57" s="60"/>
      <c r="B57" s="61"/>
      <c r="C57" s="139"/>
      <c r="D57" s="63"/>
      <c r="E57" s="63"/>
      <c r="F57" s="64"/>
      <c r="G57" s="65"/>
      <c r="H57" s="148"/>
      <c r="I57" s="66"/>
      <c r="J57" s="61"/>
      <c r="K57" s="67"/>
      <c r="L57" s="64"/>
    </row>
    <row r="58" spans="1:12" ht="18.5" customHeight="1" x14ac:dyDescent="0.2">
      <c r="A58" s="60"/>
      <c r="B58" s="61"/>
      <c r="C58" s="139"/>
      <c r="D58" s="63"/>
      <c r="E58" s="63"/>
      <c r="F58" s="64"/>
      <c r="G58" s="65"/>
      <c r="H58" s="148"/>
      <c r="I58" s="66"/>
      <c r="J58" s="61"/>
      <c r="K58" s="67"/>
      <c r="L58" s="64"/>
    </row>
    <row r="59" spans="1:12" ht="18.5" customHeight="1" x14ac:dyDescent="0.2">
      <c r="A59" s="60"/>
      <c r="B59" s="61"/>
      <c r="C59" s="139"/>
      <c r="D59" s="63"/>
      <c r="E59" s="63"/>
      <c r="F59" s="64"/>
      <c r="G59" s="65"/>
      <c r="H59" s="148"/>
      <c r="I59" s="66"/>
      <c r="J59" s="61"/>
      <c r="K59" s="67"/>
      <c r="L59" s="68"/>
    </row>
    <row r="60" spans="1:12" ht="18.5" customHeight="1" x14ac:dyDescent="0.2">
      <c r="A60" s="60"/>
      <c r="B60" s="61"/>
      <c r="C60" s="139"/>
      <c r="D60" s="63"/>
      <c r="E60" s="63"/>
      <c r="F60" s="64"/>
      <c r="G60" s="65"/>
      <c r="H60" s="65"/>
      <c r="I60" s="66"/>
      <c r="J60" s="61"/>
      <c r="K60" s="67"/>
      <c r="L60" s="64"/>
    </row>
    <row r="61" spans="1:12" ht="18.5" customHeight="1" x14ac:dyDescent="0.2">
      <c r="A61" s="60"/>
      <c r="B61" s="61"/>
      <c r="C61" s="139"/>
      <c r="D61" s="63"/>
      <c r="E61" s="63"/>
      <c r="F61" s="64"/>
      <c r="G61" s="65"/>
      <c r="H61" s="148"/>
      <c r="I61" s="66"/>
      <c r="J61" s="61"/>
      <c r="K61" s="67"/>
      <c r="L61" s="64"/>
    </row>
    <row r="62" spans="1:12" ht="18.5" customHeight="1" x14ac:dyDescent="0.2">
      <c r="A62" s="60"/>
      <c r="B62" s="61"/>
      <c r="C62" s="139"/>
      <c r="D62" s="63"/>
      <c r="E62" s="63"/>
      <c r="F62" s="64"/>
      <c r="G62" s="65"/>
      <c r="H62" s="148"/>
      <c r="I62" s="66"/>
      <c r="J62" s="61"/>
      <c r="K62" s="67"/>
      <c r="L62" s="64"/>
    </row>
    <row r="63" spans="1:12" ht="18.5" customHeight="1" x14ac:dyDescent="0.2">
      <c r="A63" s="60"/>
      <c r="B63" s="61"/>
      <c r="C63" s="139"/>
      <c r="D63" s="63"/>
      <c r="E63" s="63"/>
      <c r="F63" s="64"/>
      <c r="G63" s="65"/>
      <c r="H63" s="65"/>
      <c r="I63" s="66"/>
      <c r="J63" s="61"/>
      <c r="K63" s="67"/>
      <c r="L63" s="64"/>
    </row>
    <row r="64" spans="1:12" ht="18.5" customHeight="1" x14ac:dyDescent="0.2">
      <c r="A64" s="60"/>
      <c r="B64" s="61"/>
      <c r="C64" s="139"/>
      <c r="D64" s="63"/>
      <c r="E64" s="63"/>
      <c r="F64" s="64"/>
      <c r="G64" s="65"/>
      <c r="H64" s="65"/>
      <c r="I64" s="66"/>
      <c r="J64" s="61"/>
      <c r="K64" s="67"/>
      <c r="L64" s="64"/>
    </row>
    <row r="65" spans="1:12" ht="18.5" customHeight="1" x14ac:dyDescent="0.2">
      <c r="A65" s="60"/>
      <c r="B65" s="61"/>
      <c r="C65" s="139"/>
      <c r="D65" s="63"/>
      <c r="E65" s="63"/>
      <c r="F65" s="64"/>
      <c r="G65" s="65"/>
      <c r="H65" s="65"/>
      <c r="I65" s="66"/>
      <c r="J65" s="61"/>
      <c r="K65" s="67"/>
      <c r="L65" s="64"/>
    </row>
    <row r="66" spans="1:12" ht="18.5" customHeight="1" x14ac:dyDescent="0.2">
      <c r="A66" s="60"/>
      <c r="B66" s="61"/>
      <c r="C66" s="139"/>
      <c r="D66" s="63"/>
      <c r="E66" s="63"/>
      <c r="F66" s="64"/>
      <c r="G66" s="65"/>
      <c r="H66" s="65"/>
      <c r="I66" s="66"/>
      <c r="J66" s="61"/>
      <c r="K66" s="67"/>
      <c r="L66" s="64"/>
    </row>
    <row r="67" spans="1:12" ht="18.5" customHeight="1" x14ac:dyDescent="0.2">
      <c r="A67" s="60"/>
      <c r="B67" s="61"/>
      <c r="C67" s="139"/>
      <c r="D67" s="63"/>
      <c r="E67" s="63"/>
      <c r="F67" s="64"/>
      <c r="G67" s="65"/>
      <c r="H67" s="65"/>
      <c r="I67" s="66"/>
      <c r="J67" s="61"/>
      <c r="K67" s="67"/>
      <c r="L67" s="64"/>
    </row>
    <row r="68" spans="1:12" ht="18.5" customHeight="1" x14ac:dyDescent="0.2">
      <c r="A68" s="60"/>
      <c r="B68" s="61"/>
      <c r="C68" s="140"/>
      <c r="D68" s="63"/>
      <c r="E68" s="63"/>
      <c r="F68" s="64"/>
      <c r="G68" s="65"/>
      <c r="H68" s="65"/>
      <c r="I68" s="66"/>
      <c r="J68" s="61"/>
      <c r="K68" s="67"/>
      <c r="L68" s="64"/>
    </row>
    <row r="69" spans="1:12" ht="18.5" customHeight="1" x14ac:dyDescent="0.2">
      <c r="A69" s="60"/>
      <c r="B69" s="61"/>
      <c r="C69" s="140"/>
      <c r="D69" s="63"/>
      <c r="E69" s="63"/>
      <c r="F69" s="64"/>
      <c r="G69" s="65"/>
      <c r="H69" s="148"/>
      <c r="I69" s="66"/>
      <c r="J69" s="61"/>
      <c r="K69" s="67"/>
      <c r="L69" s="64"/>
    </row>
    <row r="70" spans="1:12" ht="18.5" customHeight="1" x14ac:dyDescent="0.2">
      <c r="A70" s="60"/>
      <c r="B70" s="61"/>
      <c r="C70" s="139"/>
      <c r="D70" s="63"/>
      <c r="E70" s="63"/>
      <c r="F70" s="64"/>
      <c r="G70" s="65"/>
      <c r="H70" s="148"/>
      <c r="I70" s="66"/>
      <c r="J70" s="61"/>
      <c r="K70" s="67"/>
      <c r="L70" s="68"/>
    </row>
    <row r="71" spans="1:12" ht="18.5" customHeight="1" x14ac:dyDescent="0.2">
      <c r="A71" s="60"/>
      <c r="B71" s="61"/>
      <c r="C71" s="139"/>
      <c r="D71" s="63"/>
      <c r="E71" s="63"/>
      <c r="F71" s="64"/>
      <c r="G71" s="65"/>
      <c r="H71" s="148"/>
      <c r="I71" s="66"/>
      <c r="J71" s="61"/>
      <c r="K71" s="67"/>
      <c r="L71" s="68"/>
    </row>
    <row r="72" spans="1:12" ht="18.5" customHeight="1" x14ac:dyDescent="0.2">
      <c r="A72" s="60"/>
      <c r="B72" s="61"/>
      <c r="C72" s="139"/>
      <c r="D72" s="63"/>
      <c r="E72" s="63"/>
      <c r="F72" s="64"/>
      <c r="G72" s="65"/>
      <c r="H72" s="148"/>
      <c r="I72" s="66"/>
      <c r="J72" s="61"/>
      <c r="K72" s="67"/>
      <c r="L72" s="68"/>
    </row>
    <row r="73" spans="1:12" ht="18.5" customHeight="1" x14ac:dyDescent="0.2">
      <c r="A73" s="60"/>
      <c r="B73" s="61"/>
      <c r="C73" s="139"/>
      <c r="D73" s="63"/>
      <c r="E73" s="63"/>
      <c r="F73" s="64"/>
      <c r="G73" s="65"/>
      <c r="H73" s="65"/>
      <c r="I73" s="66"/>
      <c r="J73" s="61"/>
      <c r="K73" s="67"/>
      <c r="L73" s="68"/>
    </row>
    <row r="74" spans="1:12" ht="18.5" customHeight="1" x14ac:dyDescent="0.2">
      <c r="A74" s="60"/>
      <c r="B74" s="61"/>
      <c r="C74" s="139"/>
      <c r="D74" s="63"/>
      <c r="E74" s="63"/>
      <c r="F74" s="64"/>
      <c r="G74" s="65"/>
      <c r="H74" s="65"/>
      <c r="I74" s="66"/>
      <c r="J74" s="61"/>
      <c r="K74" s="67"/>
      <c r="L74" s="68"/>
    </row>
    <row r="75" spans="1:12" ht="18.5" customHeight="1" x14ac:dyDescent="0.2">
      <c r="A75" s="60"/>
      <c r="B75" s="61"/>
      <c r="C75" s="139"/>
      <c r="D75" s="63"/>
      <c r="E75" s="63"/>
      <c r="F75" s="64"/>
      <c r="G75" s="65"/>
      <c r="H75" s="148"/>
      <c r="I75" s="66"/>
      <c r="J75" s="61"/>
      <c r="K75" s="67"/>
      <c r="L75" s="68"/>
    </row>
    <row r="76" spans="1:12" ht="18.5" customHeight="1" x14ac:dyDescent="0.2">
      <c r="A76" s="60"/>
      <c r="B76" s="61"/>
      <c r="C76" s="139"/>
      <c r="D76" s="63"/>
      <c r="E76" s="63"/>
      <c r="F76" s="64"/>
      <c r="G76" s="65"/>
      <c r="H76" s="148"/>
      <c r="I76" s="66"/>
      <c r="J76" s="61"/>
      <c r="K76" s="67"/>
      <c r="L76" s="64"/>
    </row>
    <row r="77" spans="1:12" ht="18.5" customHeight="1" x14ac:dyDescent="0.2">
      <c r="A77" s="60"/>
      <c r="B77" s="61"/>
      <c r="C77" s="139"/>
      <c r="D77" s="63"/>
      <c r="E77" s="63"/>
      <c r="F77" s="64"/>
      <c r="G77" s="65"/>
      <c r="H77" s="148"/>
      <c r="I77" s="66"/>
      <c r="J77" s="61"/>
      <c r="K77" s="67"/>
      <c r="L77" s="68"/>
    </row>
    <row r="78" spans="1:12" ht="18.5" customHeight="1" x14ac:dyDescent="0.2">
      <c r="A78" s="60"/>
      <c r="B78" s="61"/>
      <c r="C78" s="139"/>
      <c r="D78" s="63"/>
      <c r="E78" s="63"/>
      <c r="F78" s="64"/>
      <c r="G78" s="65"/>
      <c r="H78" s="65"/>
      <c r="I78" s="66"/>
      <c r="J78" s="61"/>
      <c r="K78" s="67"/>
      <c r="L78" s="68"/>
    </row>
    <row r="79" spans="1:12" ht="18.5" customHeight="1" x14ac:dyDescent="0.2">
      <c r="A79" s="60"/>
      <c r="B79" s="61"/>
      <c r="C79" s="139"/>
      <c r="D79" s="63"/>
      <c r="E79" s="63"/>
      <c r="F79" s="64"/>
      <c r="G79" s="65"/>
      <c r="H79" s="148"/>
      <c r="I79" s="66"/>
      <c r="J79" s="61"/>
      <c r="K79" s="67"/>
      <c r="L79" s="68"/>
    </row>
    <row r="80" spans="1:12" ht="18.5" customHeight="1" x14ac:dyDescent="0.2">
      <c r="A80" s="60"/>
      <c r="B80" s="61"/>
      <c r="C80" s="139"/>
      <c r="D80" s="63"/>
      <c r="E80" s="63"/>
      <c r="F80" s="64"/>
      <c r="G80" s="65"/>
      <c r="H80" s="65"/>
      <c r="I80" s="66"/>
      <c r="J80" s="61"/>
      <c r="K80" s="67"/>
      <c r="L80" s="68"/>
    </row>
    <row r="81" spans="1:12" ht="18.5" customHeight="1" x14ac:dyDescent="0.2">
      <c r="A81" s="60"/>
      <c r="B81" s="61"/>
      <c r="C81" s="139"/>
      <c r="D81" s="63"/>
      <c r="E81" s="63"/>
      <c r="F81" s="64"/>
      <c r="G81" s="65"/>
      <c r="H81" s="65"/>
      <c r="I81" s="66"/>
      <c r="J81" s="61"/>
      <c r="K81" s="67"/>
      <c r="L81" s="68"/>
    </row>
    <row r="82" spans="1:12" ht="18.5" customHeight="1" x14ac:dyDescent="0.2">
      <c r="A82" s="60"/>
      <c r="B82" s="61"/>
      <c r="C82" s="139"/>
      <c r="D82" s="63"/>
      <c r="E82" s="63"/>
      <c r="F82" s="64"/>
      <c r="G82" s="65"/>
      <c r="H82" s="65"/>
      <c r="I82" s="66"/>
      <c r="J82" s="61"/>
      <c r="K82" s="67"/>
      <c r="L82" s="68"/>
    </row>
    <row r="83" spans="1:12" ht="18.5" customHeight="1" x14ac:dyDescent="0.2">
      <c r="A83" s="60"/>
      <c r="B83" s="61"/>
      <c r="C83" s="139"/>
      <c r="D83" s="63"/>
      <c r="E83" s="63"/>
      <c r="F83" s="64"/>
      <c r="G83" s="65"/>
      <c r="H83" s="65"/>
      <c r="I83" s="66"/>
      <c r="J83" s="61"/>
      <c r="K83" s="67"/>
      <c r="L83" s="68"/>
    </row>
    <row r="84" spans="1:12" ht="18.5" customHeight="1" x14ac:dyDescent="0.2">
      <c r="A84" s="60"/>
      <c r="B84" s="61"/>
      <c r="C84" s="139"/>
      <c r="D84" s="63"/>
      <c r="E84" s="63"/>
      <c r="F84" s="64"/>
      <c r="G84" s="65"/>
      <c r="H84" s="148"/>
      <c r="I84" s="66"/>
      <c r="J84" s="61"/>
      <c r="K84" s="67"/>
      <c r="L84" s="149"/>
    </row>
    <row r="85" spans="1:12" ht="18.5" customHeight="1" x14ac:dyDescent="0.2">
      <c r="A85" s="60"/>
      <c r="B85" s="61"/>
      <c r="C85" s="139"/>
      <c r="D85" s="63"/>
      <c r="E85" s="63"/>
      <c r="F85" s="64"/>
      <c r="G85" s="65"/>
      <c r="H85" s="148"/>
      <c r="I85" s="66"/>
      <c r="J85" s="61"/>
      <c r="K85" s="67"/>
      <c r="L85" s="64"/>
    </row>
    <row r="86" spans="1:12" ht="18.5" customHeight="1" x14ac:dyDescent="0.2">
      <c r="A86" s="60"/>
      <c r="B86" s="61"/>
      <c r="C86" s="139"/>
      <c r="D86" s="63"/>
      <c r="E86" s="63"/>
      <c r="F86" s="64"/>
      <c r="G86" s="65"/>
      <c r="H86" s="65"/>
      <c r="I86" s="66"/>
      <c r="J86" s="61"/>
      <c r="K86" s="67"/>
      <c r="L86" s="64"/>
    </row>
    <row r="87" spans="1:12" ht="18.5" customHeight="1" x14ac:dyDescent="0.2">
      <c r="A87" s="60"/>
      <c r="B87" s="61"/>
      <c r="C87" s="139"/>
      <c r="D87" s="63"/>
      <c r="E87" s="63"/>
      <c r="F87" s="64"/>
      <c r="G87" s="65"/>
      <c r="H87" s="65"/>
      <c r="I87" s="66"/>
      <c r="J87" s="61"/>
      <c r="K87" s="67"/>
      <c r="L87" s="68"/>
    </row>
    <row r="88" spans="1:12" ht="18.5" customHeight="1" x14ac:dyDescent="0.2">
      <c r="A88" s="60"/>
      <c r="B88" s="61"/>
      <c r="C88" s="139"/>
      <c r="D88" s="63"/>
      <c r="E88" s="63"/>
      <c r="F88" s="64"/>
      <c r="G88" s="65"/>
      <c r="H88" s="65"/>
      <c r="I88" s="66"/>
      <c r="J88" s="61"/>
      <c r="K88" s="67"/>
      <c r="L88" s="68"/>
    </row>
    <row r="89" spans="1:12" ht="18.5" customHeight="1" x14ac:dyDescent="0.2">
      <c r="A89" s="60"/>
      <c r="B89" s="61"/>
      <c r="C89" s="139"/>
      <c r="D89" s="63"/>
      <c r="E89" s="63"/>
      <c r="F89" s="64"/>
      <c r="G89" s="65"/>
      <c r="H89" s="65"/>
      <c r="I89" s="66"/>
      <c r="J89" s="61"/>
      <c r="K89" s="67"/>
      <c r="L89" s="68"/>
    </row>
    <row r="90" spans="1:12" ht="18.5" customHeight="1" x14ac:dyDescent="0.2">
      <c r="A90" s="60"/>
      <c r="B90" s="61"/>
      <c r="C90" s="139"/>
      <c r="D90" s="63"/>
      <c r="E90" s="63"/>
      <c r="F90" s="64"/>
      <c r="G90" s="65"/>
      <c r="H90" s="148"/>
      <c r="I90" s="66"/>
      <c r="J90" s="61"/>
      <c r="K90" s="67"/>
      <c r="L90" s="64"/>
    </row>
    <row r="91" spans="1:12" ht="18.5" customHeight="1" x14ac:dyDescent="0.2">
      <c r="A91" s="60"/>
      <c r="B91" s="61"/>
      <c r="C91" s="139"/>
      <c r="D91" s="63"/>
      <c r="E91" s="63"/>
      <c r="F91" s="64"/>
      <c r="G91" s="65"/>
      <c r="H91" s="65"/>
      <c r="I91" s="66"/>
      <c r="J91" s="61"/>
      <c r="K91" s="67"/>
      <c r="L91" s="68"/>
    </row>
    <row r="92" spans="1:12" ht="18.5" customHeight="1" x14ac:dyDescent="0.2">
      <c r="A92" s="60"/>
      <c r="B92" s="61"/>
      <c r="C92" s="139"/>
      <c r="D92" s="63"/>
      <c r="E92" s="63"/>
      <c r="F92" s="64"/>
      <c r="G92" s="65"/>
      <c r="H92" s="65"/>
      <c r="I92" s="66"/>
      <c r="J92" s="61"/>
      <c r="K92" s="67"/>
      <c r="L92" s="68"/>
    </row>
    <row r="93" spans="1:12" ht="18.5" customHeight="1" x14ac:dyDescent="0.2">
      <c r="A93" s="60"/>
      <c r="B93" s="61"/>
      <c r="C93" s="139"/>
      <c r="D93" s="63"/>
      <c r="E93" s="63"/>
      <c r="F93" s="64"/>
      <c r="G93" s="65"/>
      <c r="H93" s="65"/>
      <c r="I93" s="66"/>
      <c r="J93" s="61"/>
      <c r="K93" s="67"/>
      <c r="L93" s="64"/>
    </row>
    <row r="94" spans="1:12" ht="18.5" customHeight="1" x14ac:dyDescent="0.2">
      <c r="A94" s="60"/>
      <c r="B94" s="61"/>
      <c r="C94" s="139"/>
      <c r="D94" s="63"/>
      <c r="E94" s="63"/>
      <c r="F94" s="64"/>
      <c r="G94" s="65"/>
      <c r="H94" s="148"/>
      <c r="I94" s="66"/>
      <c r="J94" s="61"/>
      <c r="K94" s="67"/>
      <c r="L94" s="68"/>
    </row>
    <row r="95" spans="1:12" ht="18.5" customHeight="1" x14ac:dyDescent="0.2">
      <c r="A95" s="60"/>
      <c r="B95" s="61"/>
      <c r="C95" s="139"/>
      <c r="D95" s="63"/>
      <c r="E95" s="63"/>
      <c r="F95" s="64"/>
      <c r="G95" s="65"/>
      <c r="H95" s="65"/>
      <c r="I95" s="66"/>
      <c r="J95" s="61"/>
      <c r="K95" s="67"/>
      <c r="L95" s="68"/>
    </row>
    <row r="96" spans="1:12" ht="18.5" customHeight="1" x14ac:dyDescent="0.2">
      <c r="A96" s="60"/>
      <c r="B96" s="61"/>
      <c r="C96" s="139"/>
      <c r="D96" s="63"/>
      <c r="E96" s="63"/>
      <c r="F96" s="64"/>
      <c r="G96" s="65"/>
      <c r="H96" s="65"/>
      <c r="I96" s="66"/>
      <c r="J96" s="61"/>
      <c r="K96" s="67"/>
      <c r="L96" s="68"/>
    </row>
    <row r="97" spans="1:12" ht="18.5" customHeight="1" x14ac:dyDescent="0.2">
      <c r="A97" s="60"/>
      <c r="B97" s="61"/>
      <c r="C97" s="139"/>
      <c r="D97" s="63"/>
      <c r="E97" s="63"/>
      <c r="F97" s="64"/>
      <c r="G97" s="65"/>
      <c r="H97" s="65"/>
      <c r="I97" s="66"/>
      <c r="J97" s="61"/>
      <c r="K97" s="67"/>
      <c r="L97" s="68"/>
    </row>
    <row r="98" spans="1:12" ht="18.5" customHeight="1" x14ac:dyDescent="0.2">
      <c r="A98" s="60"/>
      <c r="B98" s="61"/>
      <c r="C98" s="139"/>
      <c r="D98" s="63"/>
      <c r="E98" s="63"/>
      <c r="F98" s="64"/>
      <c r="G98" s="65"/>
      <c r="H98" s="65"/>
      <c r="I98" s="66"/>
      <c r="J98" s="61"/>
      <c r="K98" s="67"/>
      <c r="L98" s="68"/>
    </row>
    <row r="99" spans="1:12" ht="18.5" customHeight="1" x14ac:dyDescent="0.2">
      <c r="A99" s="60"/>
      <c r="B99" s="61"/>
      <c r="C99" s="139"/>
      <c r="D99" s="63"/>
      <c r="E99" s="63"/>
      <c r="F99" s="64"/>
      <c r="G99" s="65"/>
      <c r="H99" s="65"/>
      <c r="I99" s="66"/>
      <c r="J99" s="61"/>
      <c r="K99" s="67"/>
      <c r="L99" s="68"/>
    </row>
    <row r="100" spans="1:12" ht="18.5" customHeight="1" x14ac:dyDescent="0.2">
      <c r="A100" s="60"/>
      <c r="B100" s="61"/>
      <c r="C100" s="139"/>
      <c r="D100" s="63"/>
      <c r="E100" s="63"/>
      <c r="F100" s="64"/>
      <c r="G100" s="65"/>
      <c r="H100" s="148"/>
      <c r="I100" s="66"/>
      <c r="J100" s="61"/>
      <c r="K100" s="67"/>
      <c r="L100" s="64"/>
    </row>
    <row r="101" spans="1:12" ht="18.5" customHeight="1" x14ac:dyDescent="0.2">
      <c r="A101" s="60"/>
      <c r="B101" s="61"/>
      <c r="C101" s="139"/>
      <c r="D101" s="63"/>
      <c r="E101" s="63"/>
      <c r="F101" s="64"/>
      <c r="G101" s="65"/>
      <c r="H101" s="65"/>
      <c r="I101" s="66"/>
      <c r="J101" s="61"/>
      <c r="K101" s="67"/>
      <c r="L101" s="64"/>
    </row>
    <row r="102" spans="1:12" ht="18.5" customHeight="1" x14ac:dyDescent="0.2">
      <c r="A102" s="60"/>
      <c r="B102" s="61"/>
      <c r="C102" s="139"/>
      <c r="D102" s="63"/>
      <c r="E102" s="63"/>
      <c r="F102" s="64"/>
      <c r="G102" s="65"/>
      <c r="H102" s="65"/>
      <c r="I102" s="66"/>
      <c r="J102" s="61"/>
      <c r="K102" s="67"/>
      <c r="L102" s="64"/>
    </row>
    <row r="103" spans="1:12" ht="18.5" customHeight="1" x14ac:dyDescent="0.2">
      <c r="A103" s="60"/>
      <c r="B103" s="61"/>
      <c r="C103" s="139"/>
      <c r="D103" s="63"/>
      <c r="E103" s="63"/>
      <c r="F103" s="64"/>
      <c r="G103" s="65"/>
      <c r="H103" s="65"/>
      <c r="I103" s="66"/>
      <c r="J103" s="61"/>
      <c r="K103" s="67"/>
      <c r="L103" s="64"/>
    </row>
    <row r="104" spans="1:12" ht="18.5" customHeight="1" x14ac:dyDescent="0.2">
      <c r="A104" s="60"/>
      <c r="B104" s="61"/>
      <c r="C104" s="139"/>
      <c r="D104" s="63"/>
      <c r="E104" s="63"/>
      <c r="F104" s="64"/>
      <c r="G104" s="65"/>
      <c r="H104" s="65"/>
      <c r="I104" s="66"/>
      <c r="J104" s="61"/>
      <c r="K104" s="67"/>
      <c r="L104" s="64"/>
    </row>
    <row r="105" spans="1:12" ht="18.5" customHeight="1" x14ac:dyDescent="0.2">
      <c r="A105" s="60"/>
      <c r="B105" s="61"/>
      <c r="C105" s="139"/>
      <c r="D105" s="63"/>
      <c r="E105" s="63"/>
      <c r="F105" s="64"/>
      <c r="G105" s="65"/>
      <c r="H105" s="65"/>
      <c r="I105" s="66"/>
      <c r="J105" s="61"/>
      <c r="K105" s="67"/>
      <c r="L105" s="64"/>
    </row>
    <row r="106" spans="1:12" ht="18.5" customHeight="1" x14ac:dyDescent="0.2">
      <c r="A106" s="60"/>
      <c r="B106" s="61"/>
      <c r="C106" s="139"/>
      <c r="D106" s="63"/>
      <c r="E106" s="63"/>
      <c r="F106" s="64"/>
      <c r="G106" s="65"/>
      <c r="H106" s="65"/>
      <c r="I106" s="66"/>
      <c r="J106" s="61"/>
      <c r="K106" s="67"/>
      <c r="L106" s="64"/>
    </row>
    <row r="107" spans="1:12" ht="18.5" customHeight="1" x14ac:dyDescent="0.2">
      <c r="A107" s="60"/>
      <c r="B107" s="61"/>
      <c r="C107" s="139"/>
      <c r="D107" s="63"/>
      <c r="E107" s="63"/>
      <c r="F107" s="64"/>
      <c r="G107" s="65"/>
      <c r="H107" s="65"/>
      <c r="I107" s="66"/>
      <c r="J107" s="61"/>
      <c r="K107" s="67"/>
      <c r="L107" s="64"/>
    </row>
    <row r="108" spans="1:12" ht="18.5" customHeight="1" x14ac:dyDescent="0.2">
      <c r="A108" s="60"/>
      <c r="B108" s="61"/>
      <c r="C108" s="139"/>
      <c r="D108" s="63"/>
      <c r="E108" s="63"/>
      <c r="F108" s="64"/>
      <c r="G108" s="65"/>
      <c r="H108" s="65"/>
      <c r="I108" s="66"/>
      <c r="J108" s="61"/>
      <c r="K108" s="67"/>
      <c r="L108" s="64"/>
    </row>
    <row r="109" spans="1:12" ht="18.5" customHeight="1" x14ac:dyDescent="0.2">
      <c r="A109" s="60"/>
      <c r="B109" s="61"/>
      <c r="C109" s="139"/>
      <c r="D109" s="63"/>
      <c r="E109" s="63"/>
      <c r="F109" s="64"/>
      <c r="G109" s="65"/>
      <c r="H109" s="148"/>
      <c r="I109" s="66"/>
      <c r="J109" s="61"/>
      <c r="K109" s="67"/>
      <c r="L109" s="64"/>
    </row>
    <row r="110" spans="1:12" ht="18.5" customHeight="1" x14ac:dyDescent="0.2">
      <c r="A110" s="60"/>
      <c r="B110" s="61"/>
      <c r="C110" s="139"/>
      <c r="D110" s="63"/>
      <c r="E110" s="63"/>
      <c r="F110" s="64"/>
      <c r="G110" s="65"/>
      <c r="H110" s="65"/>
      <c r="I110" s="66"/>
      <c r="J110" s="61"/>
      <c r="K110" s="67"/>
      <c r="L110" s="64"/>
    </row>
    <row r="111" spans="1:12" ht="18.5" customHeight="1" x14ac:dyDescent="0.2">
      <c r="A111" s="60"/>
      <c r="B111" s="61"/>
      <c r="C111" s="139"/>
      <c r="D111" s="63"/>
      <c r="E111" s="63"/>
      <c r="F111" s="64"/>
      <c r="G111" s="65"/>
      <c r="H111" s="65"/>
      <c r="I111" s="66"/>
      <c r="J111" s="61"/>
      <c r="K111" s="67"/>
      <c r="L111" s="64"/>
    </row>
    <row r="112" spans="1:12" ht="18.5" customHeight="1" x14ac:dyDescent="0.2">
      <c r="A112" s="60"/>
      <c r="B112" s="61"/>
      <c r="C112" s="139"/>
      <c r="D112" s="63"/>
      <c r="E112" s="63"/>
      <c r="F112" s="168"/>
      <c r="G112" s="169"/>
      <c r="H112" s="169"/>
      <c r="I112" s="170"/>
      <c r="J112" s="171"/>
      <c r="K112" s="172"/>
      <c r="L112" s="64"/>
    </row>
    <row r="113" spans="1:12" ht="18.5" customHeight="1" x14ac:dyDescent="0.2">
      <c r="A113" s="60"/>
      <c r="B113" s="61"/>
      <c r="C113" s="139"/>
      <c r="D113" s="63"/>
      <c r="E113" s="63"/>
      <c r="F113" s="64"/>
      <c r="G113" s="65"/>
      <c r="H113" s="65"/>
      <c r="I113" s="170"/>
      <c r="J113" s="61"/>
      <c r="K113" s="67"/>
      <c r="L113" s="64"/>
    </row>
    <row r="114" spans="1:12" ht="18.5" customHeight="1" x14ac:dyDescent="0.2">
      <c r="A114" s="60"/>
      <c r="B114" s="61"/>
      <c r="C114" s="139"/>
      <c r="D114" s="63"/>
      <c r="E114" s="63"/>
      <c r="F114" s="64"/>
      <c r="G114" s="65"/>
      <c r="H114" s="148"/>
      <c r="I114" s="170"/>
      <c r="J114" s="61"/>
      <c r="K114" s="67"/>
      <c r="L114" s="70"/>
    </row>
    <row r="115" spans="1:12" ht="18.5" customHeight="1" x14ac:dyDescent="0.2">
      <c r="A115" s="60"/>
      <c r="B115" s="61"/>
      <c r="C115" s="139"/>
      <c r="D115" s="63"/>
      <c r="E115" s="63"/>
      <c r="F115" s="168"/>
      <c r="G115" s="169"/>
      <c r="H115" s="65"/>
      <c r="I115" s="170"/>
      <c r="J115" s="171"/>
      <c r="K115" s="172"/>
      <c r="L115" s="70"/>
    </row>
    <row r="116" spans="1:12" ht="18.5" customHeight="1" x14ac:dyDescent="0.2">
      <c r="A116" s="60"/>
      <c r="B116" s="61"/>
      <c r="C116" s="139"/>
      <c r="D116" s="63"/>
      <c r="E116" s="63"/>
      <c r="F116" s="64"/>
      <c r="G116" s="65"/>
      <c r="H116" s="65"/>
      <c r="I116" s="170"/>
      <c r="J116" s="61"/>
      <c r="K116" s="67"/>
      <c r="L116" s="70"/>
    </row>
    <row r="117" spans="1:12" ht="18.5" customHeight="1" x14ac:dyDescent="0.2">
      <c r="A117" s="60"/>
      <c r="B117" s="61"/>
      <c r="C117" s="139"/>
      <c r="D117" s="63"/>
      <c r="E117" s="63"/>
      <c r="F117" s="64"/>
      <c r="G117" s="65"/>
      <c r="H117" s="65"/>
      <c r="I117" s="170"/>
      <c r="J117" s="61"/>
      <c r="K117" s="67"/>
      <c r="L117" s="64"/>
    </row>
    <row r="118" spans="1:12" ht="18.5" customHeight="1" x14ac:dyDescent="0.2">
      <c r="A118" s="60"/>
      <c r="B118" s="61"/>
      <c r="C118" s="139"/>
      <c r="D118" s="63"/>
      <c r="E118" s="63"/>
      <c r="F118" s="64"/>
      <c r="G118" s="65"/>
      <c r="H118" s="148"/>
      <c r="I118" s="170"/>
      <c r="J118" s="61"/>
      <c r="K118" s="67"/>
      <c r="L118" s="64"/>
    </row>
    <row r="119" spans="1:12" ht="18.5" customHeight="1" x14ac:dyDescent="0.2">
      <c r="A119" s="60"/>
      <c r="B119" s="61"/>
      <c r="C119" s="139"/>
      <c r="D119" s="63"/>
      <c r="E119" s="63"/>
      <c r="F119" s="64"/>
      <c r="G119" s="65"/>
      <c r="H119" s="65"/>
      <c r="I119" s="170"/>
      <c r="J119" s="61"/>
      <c r="K119" s="67"/>
      <c r="L119" s="64"/>
    </row>
    <row r="120" spans="1:12" ht="18.5" customHeight="1" x14ac:dyDescent="0.2">
      <c r="A120" s="60"/>
      <c r="B120" s="61"/>
      <c r="C120" s="139"/>
      <c r="D120" s="63"/>
      <c r="E120" s="63"/>
      <c r="F120" s="64"/>
      <c r="G120" s="65"/>
      <c r="H120" s="65"/>
      <c r="I120" s="170"/>
      <c r="J120" s="61"/>
      <c r="K120" s="67"/>
      <c r="L120" s="64"/>
    </row>
    <row r="121" spans="1:12" ht="18.5" customHeight="1" x14ac:dyDescent="0.2">
      <c r="A121" s="60"/>
      <c r="B121" s="61"/>
      <c r="C121" s="139"/>
      <c r="D121" s="63"/>
      <c r="E121" s="63"/>
      <c r="F121" s="64"/>
      <c r="G121" s="65"/>
      <c r="H121" s="148"/>
      <c r="I121" s="170"/>
      <c r="J121" s="61"/>
      <c r="K121" s="67"/>
      <c r="L121" s="64"/>
    </row>
    <row r="122" spans="1:12" ht="18.5" customHeight="1" x14ac:dyDescent="0.2">
      <c r="A122" s="60"/>
      <c r="B122" s="61"/>
      <c r="C122" s="139"/>
      <c r="D122" s="63"/>
      <c r="E122" s="63"/>
      <c r="F122" s="64"/>
      <c r="G122" s="65"/>
      <c r="H122" s="148"/>
      <c r="I122" s="170"/>
      <c r="J122" s="61"/>
      <c r="K122" s="67"/>
      <c r="L122" s="64"/>
    </row>
    <row r="123" spans="1:12" ht="18.5" customHeight="1" x14ac:dyDescent="0.2">
      <c r="A123" s="60"/>
      <c r="B123" s="61"/>
      <c r="C123" s="139"/>
      <c r="D123" s="63"/>
      <c r="E123" s="63"/>
      <c r="F123" s="64"/>
      <c r="G123" s="65"/>
      <c r="H123" s="148"/>
      <c r="I123" s="170"/>
      <c r="J123" s="61"/>
      <c r="K123" s="67"/>
      <c r="L123" s="64"/>
    </row>
    <row r="124" spans="1:12" ht="18.5" customHeight="1" x14ac:dyDescent="0.2">
      <c r="A124" s="60"/>
      <c r="B124" s="61"/>
      <c r="C124" s="139"/>
      <c r="D124" s="63"/>
      <c r="E124" s="63"/>
      <c r="F124" s="64"/>
      <c r="G124" s="65"/>
      <c r="H124" s="148"/>
      <c r="I124" s="170"/>
      <c r="J124" s="61"/>
      <c r="K124" s="67"/>
      <c r="L124" s="64"/>
    </row>
    <row r="125" spans="1:12" ht="18.5" customHeight="1" x14ac:dyDescent="0.2">
      <c r="A125" s="60"/>
      <c r="B125" s="61"/>
      <c r="C125" s="139"/>
      <c r="D125" s="63"/>
      <c r="E125" s="63"/>
      <c r="F125" s="64"/>
      <c r="G125" s="65"/>
      <c r="H125" s="148"/>
      <c r="I125" s="170"/>
      <c r="J125" s="61"/>
      <c r="K125" s="67"/>
      <c r="L125" s="64"/>
    </row>
    <row r="126" spans="1:12" ht="18.5" customHeight="1" x14ac:dyDescent="0.2">
      <c r="A126" s="60"/>
      <c r="B126" s="61"/>
      <c r="C126" s="139"/>
      <c r="D126" s="63"/>
      <c r="E126" s="63"/>
      <c r="F126" s="64"/>
      <c r="G126" s="65"/>
      <c r="H126" s="148"/>
      <c r="I126" s="170"/>
      <c r="J126" s="61"/>
      <c r="K126" s="67"/>
      <c r="L126" s="64"/>
    </row>
    <row r="127" spans="1:12" ht="18.5" customHeight="1" x14ac:dyDescent="0.2">
      <c r="A127" s="60"/>
      <c r="B127" s="61"/>
      <c r="C127" s="139"/>
      <c r="D127" s="63"/>
      <c r="E127" s="63"/>
      <c r="F127" s="64"/>
      <c r="G127" s="65"/>
      <c r="H127" s="148"/>
      <c r="I127" s="170"/>
      <c r="J127" s="61"/>
      <c r="K127" s="67"/>
      <c r="L127" s="64"/>
    </row>
    <row r="128" spans="1:12" ht="18.5" customHeight="1" x14ac:dyDescent="0.2">
      <c r="A128" s="60"/>
      <c r="B128" s="61"/>
      <c r="C128" s="139"/>
      <c r="D128" s="63"/>
      <c r="E128" s="63"/>
      <c r="F128" s="64"/>
      <c r="G128" s="65"/>
      <c r="H128" s="148"/>
      <c r="I128" s="170"/>
      <c r="J128" s="61"/>
      <c r="K128" s="67"/>
      <c r="L128" s="64"/>
    </row>
    <row r="129" spans="1:12" ht="18.5" customHeight="1" x14ac:dyDescent="0.2">
      <c r="A129" s="60"/>
      <c r="B129" s="61"/>
      <c r="C129" s="140"/>
      <c r="D129" s="63"/>
      <c r="E129" s="63"/>
      <c r="F129" s="64"/>
      <c r="G129" s="65"/>
      <c r="H129" s="65"/>
      <c r="I129" s="170"/>
      <c r="J129" s="61"/>
      <c r="K129" s="67"/>
      <c r="L129" s="64"/>
    </row>
    <row r="130" spans="1:12" ht="18.5" customHeight="1" x14ac:dyDescent="0.2">
      <c r="A130" s="60"/>
      <c r="B130" s="61"/>
      <c r="C130" s="140"/>
      <c r="D130" s="63"/>
      <c r="E130" s="63"/>
      <c r="F130" s="64"/>
      <c r="G130" s="65"/>
      <c r="H130" s="65"/>
      <c r="I130" s="170"/>
      <c r="J130" s="61"/>
      <c r="K130" s="67"/>
      <c r="L130" s="64"/>
    </row>
    <row r="131" spans="1:12" ht="18.5" customHeight="1" x14ac:dyDescent="0.2">
      <c r="A131" s="60"/>
      <c r="B131" s="61"/>
      <c r="C131" s="140"/>
      <c r="D131" s="63"/>
      <c r="E131" s="63"/>
      <c r="F131" s="64"/>
      <c r="G131" s="65"/>
      <c r="H131" s="148"/>
      <c r="I131" s="170"/>
      <c r="J131" s="61"/>
      <c r="K131" s="67"/>
      <c r="L131" s="64"/>
    </row>
    <row r="132" spans="1:12" ht="18.5" customHeight="1" x14ac:dyDescent="0.2">
      <c r="A132" s="60"/>
      <c r="B132" s="61"/>
      <c r="C132" s="140"/>
      <c r="D132" s="63"/>
      <c r="E132" s="63"/>
      <c r="F132" s="168"/>
      <c r="G132" s="169"/>
      <c r="H132" s="65"/>
      <c r="I132" s="170"/>
      <c r="J132" s="171"/>
      <c r="K132" s="172"/>
      <c r="L132" s="64"/>
    </row>
    <row r="133" spans="1:12" ht="18.5" customHeight="1" x14ac:dyDescent="0.2">
      <c r="A133" s="60"/>
      <c r="B133" s="61"/>
      <c r="C133" s="140"/>
      <c r="D133" s="63"/>
      <c r="E133" s="63"/>
      <c r="F133" s="64"/>
      <c r="G133" s="65"/>
      <c r="H133" s="65"/>
      <c r="I133" s="170"/>
      <c r="J133" s="61"/>
      <c r="K133" s="67"/>
      <c r="L133" s="64"/>
    </row>
    <row r="134" spans="1:12" ht="18.5" customHeight="1" x14ac:dyDescent="0.2">
      <c r="A134" s="60"/>
      <c r="B134" s="61"/>
      <c r="C134" s="140"/>
      <c r="D134" s="63"/>
      <c r="E134" s="63"/>
      <c r="F134" s="64"/>
      <c r="G134" s="65"/>
      <c r="H134" s="65"/>
      <c r="I134" s="170"/>
      <c r="J134" s="61"/>
      <c r="K134" s="67"/>
      <c r="L134" s="64"/>
    </row>
    <row r="135" spans="1:12" ht="18.5" customHeight="1" x14ac:dyDescent="0.2">
      <c r="A135" s="60"/>
      <c r="B135" s="61"/>
      <c r="C135" s="140"/>
      <c r="D135" s="63"/>
      <c r="E135" s="63"/>
      <c r="F135" s="64"/>
      <c r="G135" s="65"/>
      <c r="H135" s="65"/>
      <c r="I135" s="170"/>
      <c r="J135" s="61"/>
      <c r="K135" s="67"/>
      <c r="L135" s="64"/>
    </row>
    <row r="136" spans="1:12" ht="18.5" customHeight="1" x14ac:dyDescent="0.2">
      <c r="A136" s="60"/>
      <c r="B136" s="61"/>
      <c r="C136" s="140"/>
      <c r="D136" s="63"/>
      <c r="E136" s="63"/>
      <c r="F136" s="64"/>
      <c r="G136" s="65"/>
      <c r="H136" s="148"/>
      <c r="I136" s="170"/>
      <c r="J136" s="61"/>
      <c r="K136" s="67"/>
      <c r="L136" s="64"/>
    </row>
    <row r="137" spans="1:12" ht="18.5" customHeight="1" x14ac:dyDescent="0.2">
      <c r="A137" s="60"/>
      <c r="B137" s="61"/>
      <c r="C137" s="140"/>
      <c r="D137" s="63"/>
      <c r="E137" s="63"/>
      <c r="F137" s="64"/>
      <c r="G137" s="65"/>
      <c r="H137" s="148"/>
      <c r="I137" s="170"/>
      <c r="J137" s="61"/>
      <c r="K137" s="67"/>
      <c r="L137" s="64"/>
    </row>
    <row r="138" spans="1:12" ht="18.5" customHeight="1" x14ac:dyDescent="0.2">
      <c r="A138" s="60"/>
      <c r="B138" s="61"/>
      <c r="C138" s="140"/>
      <c r="D138" s="63"/>
      <c r="E138" s="63"/>
      <c r="F138" s="64"/>
      <c r="G138" s="65"/>
      <c r="H138" s="148"/>
      <c r="I138" s="170"/>
      <c r="J138" s="61"/>
      <c r="K138" s="67"/>
      <c r="L138" s="64"/>
    </row>
    <row r="139" spans="1:12" ht="18.5" customHeight="1" x14ac:dyDescent="0.2">
      <c r="A139" s="60"/>
      <c r="B139" s="61"/>
      <c r="C139" s="140"/>
      <c r="D139" s="63"/>
      <c r="E139" s="63"/>
      <c r="F139" s="64"/>
      <c r="G139" s="65"/>
      <c r="H139" s="65"/>
      <c r="I139" s="170"/>
      <c r="J139" s="61"/>
      <c r="K139" s="67"/>
      <c r="L139" s="64"/>
    </row>
    <row r="140" spans="1:12" ht="18.5" customHeight="1" x14ac:dyDescent="0.2">
      <c r="A140" s="60"/>
      <c r="B140" s="61"/>
      <c r="C140" s="140"/>
      <c r="D140" s="63"/>
      <c r="E140" s="63"/>
      <c r="F140" s="64"/>
      <c r="G140" s="65"/>
      <c r="H140" s="65"/>
      <c r="I140" s="170"/>
      <c r="J140" s="61"/>
      <c r="K140" s="67"/>
      <c r="L140" s="64"/>
    </row>
    <row r="141" spans="1:12" ht="18.5" customHeight="1" x14ac:dyDescent="0.2">
      <c r="A141" s="60"/>
      <c r="B141" s="61"/>
      <c r="C141" s="140"/>
      <c r="D141" s="63"/>
      <c r="E141" s="63"/>
      <c r="F141" s="64"/>
      <c r="G141" s="65"/>
      <c r="H141" s="148"/>
      <c r="I141" s="170"/>
      <c r="J141" s="61"/>
      <c r="K141" s="67"/>
      <c r="L141" s="64"/>
    </row>
    <row r="142" spans="1:12" ht="18.5" customHeight="1" x14ac:dyDescent="0.2">
      <c r="A142" s="60"/>
      <c r="B142" s="61"/>
      <c r="C142" s="140"/>
      <c r="D142" s="63"/>
      <c r="E142" s="63"/>
      <c r="F142" s="64"/>
      <c r="G142" s="65"/>
      <c r="H142" s="148"/>
      <c r="I142" s="170"/>
      <c r="J142" s="61"/>
      <c r="K142" s="67"/>
      <c r="L142" s="64"/>
    </row>
    <row r="143" spans="1:12" ht="18.5" customHeight="1" x14ac:dyDescent="0.2">
      <c r="A143" s="60"/>
      <c r="B143" s="61"/>
      <c r="C143" s="140"/>
      <c r="D143" s="63"/>
      <c r="E143" s="63"/>
      <c r="F143" s="64"/>
      <c r="G143" s="65"/>
      <c r="H143" s="148"/>
      <c r="I143" s="170"/>
      <c r="J143" s="61"/>
      <c r="K143" s="67"/>
      <c r="L143" s="64"/>
    </row>
    <row r="144" spans="1:12" ht="18.5" customHeight="1" x14ac:dyDescent="0.2">
      <c r="A144" s="60"/>
      <c r="B144" s="61"/>
      <c r="C144" s="140"/>
      <c r="D144" s="63"/>
      <c r="E144" s="63"/>
      <c r="F144" s="64"/>
      <c r="G144" s="65"/>
      <c r="H144" s="148"/>
      <c r="I144" s="170"/>
      <c r="J144" s="61"/>
      <c r="K144" s="67"/>
      <c r="L144" s="64"/>
    </row>
    <row r="145" spans="1:12" ht="18.5" customHeight="1" x14ac:dyDescent="0.2">
      <c r="A145" s="60"/>
      <c r="B145" s="61"/>
      <c r="C145" s="140"/>
      <c r="D145" s="63"/>
      <c r="E145" s="63"/>
      <c r="F145" s="64"/>
      <c r="G145" s="65"/>
      <c r="H145" s="65"/>
      <c r="I145" s="170"/>
      <c r="J145" s="61"/>
      <c r="K145" s="67"/>
      <c r="L145" s="64"/>
    </row>
    <row r="146" spans="1:12" ht="18.5" customHeight="1" x14ac:dyDescent="0.2">
      <c r="A146" s="60"/>
      <c r="B146" s="61"/>
      <c r="C146" s="140"/>
      <c r="D146" s="63"/>
      <c r="E146" s="63"/>
      <c r="F146" s="64"/>
      <c r="G146" s="65"/>
      <c r="H146" s="148"/>
      <c r="I146" s="170"/>
      <c r="J146" s="61"/>
      <c r="K146" s="67"/>
      <c r="L146" s="64"/>
    </row>
    <row r="147" spans="1:12" ht="18.5" customHeight="1" x14ac:dyDescent="0.2">
      <c r="A147" s="60"/>
      <c r="B147" s="61"/>
      <c r="C147" s="140"/>
      <c r="D147" s="63"/>
      <c r="E147" s="63"/>
      <c r="F147" s="64"/>
      <c r="G147" s="65"/>
      <c r="H147" s="148"/>
      <c r="I147" s="170"/>
      <c r="J147" s="61"/>
      <c r="K147" s="67"/>
      <c r="L147" s="64"/>
    </row>
    <row r="148" spans="1:12" ht="18.5" customHeight="1" x14ac:dyDescent="0.2">
      <c r="A148" s="60"/>
      <c r="B148" s="61"/>
      <c r="C148" s="140"/>
      <c r="D148" s="63"/>
      <c r="E148" s="63"/>
      <c r="F148" s="64"/>
      <c r="G148" s="65"/>
      <c r="H148" s="148"/>
      <c r="I148" s="170"/>
      <c r="J148" s="61"/>
      <c r="K148" s="67"/>
      <c r="L148" s="64"/>
    </row>
    <row r="149" spans="1:12" ht="18.5" customHeight="1" x14ac:dyDescent="0.2">
      <c r="A149" s="60"/>
      <c r="B149" s="61"/>
      <c r="C149" s="140"/>
      <c r="D149" s="63"/>
      <c r="E149" s="63"/>
      <c r="F149" s="64"/>
      <c r="G149" s="65"/>
      <c r="H149" s="65"/>
      <c r="I149" s="170"/>
      <c r="J149" s="61"/>
      <c r="K149" s="67"/>
      <c r="L149" s="64"/>
    </row>
    <row r="150" spans="1:12" ht="18.5" customHeight="1" x14ac:dyDescent="0.2">
      <c r="A150" s="60"/>
      <c r="B150" s="61"/>
      <c r="C150" s="140"/>
      <c r="D150" s="63"/>
      <c r="E150" s="63"/>
      <c r="F150" s="64"/>
      <c r="G150" s="65"/>
      <c r="H150" s="65"/>
      <c r="I150" s="170"/>
      <c r="J150" s="61"/>
      <c r="K150" s="67"/>
      <c r="L150" s="64"/>
    </row>
    <row r="151" spans="1:12" ht="18.5" customHeight="1" x14ac:dyDescent="0.2">
      <c r="A151" s="60"/>
      <c r="B151" s="61"/>
      <c r="C151" s="140"/>
      <c r="D151" s="63"/>
      <c r="E151" s="63"/>
      <c r="F151" s="64"/>
      <c r="G151" s="65"/>
      <c r="H151" s="65"/>
      <c r="I151" s="170"/>
      <c r="J151" s="61"/>
      <c r="K151" s="67"/>
      <c r="L151" s="64"/>
    </row>
    <row r="152" spans="1:12" ht="18.5" customHeight="1" x14ac:dyDescent="0.2">
      <c r="A152" s="60"/>
      <c r="B152" s="61"/>
      <c r="C152" s="140"/>
      <c r="D152" s="63"/>
      <c r="E152" s="63"/>
      <c r="F152" s="64"/>
      <c r="G152" s="65"/>
      <c r="H152" s="148"/>
      <c r="I152" s="170"/>
      <c r="J152" s="61"/>
      <c r="K152" s="67"/>
      <c r="L152" s="64"/>
    </row>
    <row r="153" spans="1:12" ht="18.5" customHeight="1" x14ac:dyDescent="0.2">
      <c r="A153" s="60"/>
      <c r="B153" s="61"/>
      <c r="C153" s="140"/>
      <c r="D153" s="63"/>
      <c r="E153" s="63"/>
      <c r="F153" s="168"/>
      <c r="G153" s="169"/>
      <c r="H153" s="65"/>
      <c r="I153" s="170"/>
      <c r="J153" s="171"/>
      <c r="K153" s="172"/>
      <c r="L153" s="64"/>
    </row>
    <row r="154" spans="1:12" ht="18.5" customHeight="1" x14ac:dyDescent="0.2">
      <c r="A154" s="60"/>
      <c r="B154" s="61"/>
      <c r="C154" s="140"/>
      <c r="D154" s="63"/>
      <c r="E154" s="63"/>
      <c r="F154" s="64"/>
      <c r="G154" s="65"/>
      <c r="H154" s="65"/>
      <c r="I154" s="170"/>
      <c r="J154" s="61"/>
      <c r="K154" s="67"/>
      <c r="L154" s="64"/>
    </row>
    <row r="155" spans="1:12" ht="18.5" customHeight="1" x14ac:dyDescent="0.2">
      <c r="A155" s="60"/>
      <c r="B155" s="61"/>
      <c r="C155" s="140"/>
      <c r="D155" s="63"/>
      <c r="E155" s="63"/>
      <c r="F155" s="64"/>
      <c r="G155" s="65"/>
      <c r="H155" s="65"/>
      <c r="I155" s="170"/>
      <c r="J155" s="61"/>
      <c r="K155" s="67"/>
      <c r="L155" s="64"/>
    </row>
    <row r="156" spans="1:12" ht="18.5" customHeight="1" x14ac:dyDescent="0.2">
      <c r="A156" s="60"/>
      <c r="B156" s="61"/>
      <c r="C156" s="140"/>
      <c r="D156" s="63"/>
      <c r="E156" s="63"/>
      <c r="F156" s="64"/>
      <c r="G156" s="65"/>
      <c r="H156" s="65"/>
      <c r="I156" s="170"/>
      <c r="J156" s="61"/>
      <c r="K156" s="67"/>
      <c r="L156" s="64"/>
    </row>
    <row r="157" spans="1:12" ht="18.5" customHeight="1" x14ac:dyDescent="0.2">
      <c r="A157" s="60"/>
      <c r="B157" s="61"/>
      <c r="C157" s="140"/>
      <c r="D157" s="63"/>
      <c r="E157" s="63"/>
      <c r="F157" s="64"/>
      <c r="G157" s="65"/>
      <c r="H157" s="148"/>
      <c r="I157" s="170"/>
      <c r="J157" s="61"/>
      <c r="K157" s="67"/>
      <c r="L157" s="64"/>
    </row>
    <row r="158" spans="1:12" ht="18.5" customHeight="1" x14ac:dyDescent="0.2">
      <c r="A158" s="60"/>
      <c r="B158" s="61"/>
      <c r="C158" s="140"/>
      <c r="D158" s="63"/>
      <c r="E158" s="63"/>
      <c r="F158" s="64"/>
      <c r="G158" s="65"/>
      <c r="H158" s="65"/>
      <c r="I158" s="170"/>
      <c r="J158" s="61"/>
      <c r="K158" s="67"/>
      <c r="L158" s="64"/>
    </row>
    <row r="159" spans="1:12" ht="18.5" customHeight="1" x14ac:dyDescent="0.2">
      <c r="A159" s="60"/>
      <c r="B159" s="61"/>
      <c r="C159" s="140"/>
      <c r="D159" s="63"/>
      <c r="E159" s="63"/>
      <c r="F159" s="64"/>
      <c r="G159" s="65"/>
      <c r="H159" s="65"/>
      <c r="I159" s="170"/>
      <c r="J159" s="61"/>
      <c r="K159" s="67"/>
      <c r="L159" s="64"/>
    </row>
    <row r="160" spans="1:12" ht="18.5" customHeight="1" x14ac:dyDescent="0.2">
      <c r="A160" s="60"/>
      <c r="B160" s="61"/>
      <c r="C160" s="140"/>
      <c r="D160" s="63"/>
      <c r="E160" s="63"/>
      <c r="F160" s="64"/>
      <c r="G160" s="65"/>
      <c r="H160" s="65"/>
      <c r="I160" s="170"/>
      <c r="J160" s="61"/>
      <c r="K160" s="67"/>
      <c r="L160" s="64"/>
    </row>
    <row r="161" spans="1:12" ht="18.5" customHeight="1" x14ac:dyDescent="0.2">
      <c r="A161" s="60"/>
      <c r="B161" s="61"/>
      <c r="C161" s="140"/>
      <c r="D161" s="63"/>
      <c r="E161" s="63"/>
      <c r="F161" s="64"/>
      <c r="G161" s="65"/>
      <c r="H161" s="65"/>
      <c r="I161" s="170"/>
      <c r="J161" s="61"/>
      <c r="K161" s="67"/>
      <c r="L161" s="64"/>
    </row>
    <row r="162" spans="1:12" ht="18.5" customHeight="1" x14ac:dyDescent="0.2">
      <c r="A162" s="60"/>
      <c r="B162" s="61"/>
      <c r="C162" s="140"/>
      <c r="D162" s="63"/>
      <c r="E162" s="63"/>
      <c r="F162" s="64"/>
      <c r="G162" s="65"/>
      <c r="H162" s="65"/>
      <c r="I162" s="170"/>
      <c r="J162" s="61"/>
      <c r="K162" s="67"/>
      <c r="L162" s="64"/>
    </row>
    <row r="163" spans="1:12" ht="18.5" customHeight="1" x14ac:dyDescent="0.2">
      <c r="A163" s="60"/>
      <c r="B163" s="61"/>
      <c r="C163" s="140"/>
      <c r="D163" s="63"/>
      <c r="E163" s="63"/>
      <c r="F163" s="64"/>
      <c r="G163" s="65"/>
      <c r="H163" s="148"/>
      <c r="I163" s="170"/>
      <c r="J163" s="61"/>
      <c r="K163" s="67"/>
      <c r="L163" s="64"/>
    </row>
    <row r="164" spans="1:12" ht="18.5" customHeight="1" x14ac:dyDescent="0.2">
      <c r="A164" s="60"/>
      <c r="B164" s="61"/>
      <c r="C164" s="140"/>
      <c r="D164" s="63"/>
      <c r="E164" s="63"/>
      <c r="F164" s="64"/>
      <c r="G164" s="65"/>
      <c r="H164" s="65"/>
      <c r="I164" s="170"/>
      <c r="J164" s="61"/>
      <c r="K164" s="67"/>
      <c r="L164" s="64"/>
    </row>
    <row r="165" spans="1:12" ht="18.5" customHeight="1" x14ac:dyDescent="0.2">
      <c r="A165" s="60"/>
      <c r="B165" s="61"/>
      <c r="C165" s="140"/>
      <c r="D165" s="63"/>
      <c r="E165" s="63"/>
      <c r="F165" s="64"/>
      <c r="G165" s="65"/>
      <c r="H165" s="65"/>
      <c r="I165" s="170"/>
      <c r="J165" s="61"/>
      <c r="K165" s="67"/>
      <c r="L165" s="64"/>
    </row>
    <row r="166" spans="1:12" ht="18.5" customHeight="1" x14ac:dyDescent="0.2">
      <c r="A166" s="60"/>
      <c r="B166" s="61"/>
      <c r="C166" s="140"/>
      <c r="D166" s="63"/>
      <c r="E166" s="63"/>
      <c r="F166" s="64"/>
      <c r="G166" s="65"/>
      <c r="H166" s="148"/>
      <c r="I166" s="170"/>
      <c r="J166" s="61"/>
      <c r="K166" s="67"/>
      <c r="L166" s="64"/>
    </row>
    <row r="167" spans="1:12" ht="18.5" customHeight="1" x14ac:dyDescent="0.2">
      <c r="A167" s="60"/>
      <c r="B167" s="61"/>
      <c r="C167" s="140"/>
      <c r="D167" s="63"/>
      <c r="E167" s="63"/>
      <c r="F167" s="64"/>
      <c r="G167" s="65"/>
      <c r="H167" s="65"/>
      <c r="I167" s="170"/>
      <c r="J167" s="61"/>
      <c r="K167" s="67"/>
      <c r="L167" s="64"/>
    </row>
    <row r="168" spans="1:12" ht="18.5" customHeight="1" x14ac:dyDescent="0.2">
      <c r="A168" s="60"/>
      <c r="B168" s="61"/>
      <c r="C168" s="140"/>
      <c r="D168" s="63"/>
      <c r="E168" s="63"/>
      <c r="F168" s="64"/>
      <c r="G168" s="65"/>
      <c r="H168" s="65"/>
      <c r="I168" s="170"/>
      <c r="J168" s="61"/>
      <c r="K168" s="67"/>
      <c r="L168" s="64"/>
    </row>
    <row r="169" spans="1:12" ht="18.5" customHeight="1" x14ac:dyDescent="0.2">
      <c r="A169" s="60"/>
      <c r="B169" s="61"/>
      <c r="C169" s="140"/>
      <c r="D169" s="63"/>
      <c r="E169" s="63"/>
      <c r="F169" s="64"/>
      <c r="G169" s="65"/>
      <c r="H169" s="148"/>
      <c r="I169" s="170"/>
      <c r="J169" s="61"/>
      <c r="K169" s="67"/>
      <c r="L169" s="64"/>
    </row>
    <row r="170" spans="1:12" ht="18.5" customHeight="1" x14ac:dyDescent="0.2">
      <c r="A170" s="60"/>
      <c r="B170" s="61"/>
      <c r="C170" s="140"/>
      <c r="D170" s="63"/>
      <c r="E170" s="63"/>
      <c r="F170" s="64"/>
      <c r="G170" s="65"/>
      <c r="H170" s="65"/>
      <c r="I170" s="170"/>
      <c r="J170" s="61"/>
      <c r="K170" s="67"/>
      <c r="L170" s="64"/>
    </row>
    <row r="171" spans="1:12" ht="18.5" customHeight="1" x14ac:dyDescent="0.2">
      <c r="A171" s="60"/>
      <c r="B171" s="61"/>
      <c r="C171" s="140"/>
      <c r="D171" s="63"/>
      <c r="E171" s="63"/>
      <c r="F171" s="64"/>
      <c r="G171" s="65"/>
      <c r="H171" s="65"/>
      <c r="I171" s="170"/>
      <c r="J171" s="61"/>
      <c r="K171" s="67"/>
      <c r="L171" s="68"/>
    </row>
    <row r="172" spans="1:12" ht="18.5" customHeight="1" x14ac:dyDescent="0.2">
      <c r="A172" s="60"/>
      <c r="B172" s="61"/>
      <c r="C172" s="140"/>
      <c r="D172" s="63"/>
      <c r="E172" s="63"/>
      <c r="F172" s="64"/>
      <c r="G172" s="65"/>
      <c r="H172" s="65"/>
      <c r="I172" s="66"/>
      <c r="J172" s="61"/>
      <c r="K172" s="67"/>
      <c r="L172" s="68"/>
    </row>
    <row r="173" spans="1:12" ht="18.5" customHeight="1" x14ac:dyDescent="0.2">
      <c r="A173" s="60"/>
      <c r="B173" s="61"/>
      <c r="C173" s="140"/>
      <c r="D173" s="63"/>
      <c r="E173" s="63"/>
      <c r="F173" s="64"/>
      <c r="G173" s="65"/>
      <c r="H173" s="65"/>
      <c r="I173" s="66"/>
      <c r="J173" s="61"/>
      <c r="K173" s="67"/>
      <c r="L173" s="64"/>
    </row>
    <row r="174" spans="1:12" ht="18.5" customHeight="1" x14ac:dyDescent="0.2">
      <c r="A174" s="60"/>
      <c r="B174" s="61"/>
      <c r="C174" s="140"/>
      <c r="D174" s="63"/>
      <c r="E174" s="63"/>
      <c r="F174" s="64"/>
      <c r="G174" s="65"/>
      <c r="H174" s="65"/>
      <c r="I174" s="66"/>
      <c r="J174" s="61"/>
      <c r="K174" s="67"/>
      <c r="L174" s="64"/>
    </row>
    <row r="175" spans="1:12" ht="18.5" customHeight="1" x14ac:dyDescent="0.2">
      <c r="A175" s="60"/>
      <c r="B175" s="61"/>
      <c r="C175" s="140"/>
      <c r="D175" s="63"/>
      <c r="E175" s="63"/>
      <c r="F175" s="64"/>
      <c r="G175" s="65"/>
      <c r="H175" s="65"/>
      <c r="I175" s="66"/>
      <c r="J175" s="61"/>
      <c r="K175" s="67"/>
      <c r="L175" s="64"/>
    </row>
    <row r="176" spans="1:12" ht="18.5" customHeight="1" x14ac:dyDescent="0.2">
      <c r="A176" s="60"/>
      <c r="B176" s="61"/>
      <c r="C176" s="139"/>
      <c r="D176" s="63"/>
      <c r="E176" s="63"/>
      <c r="F176" s="64"/>
      <c r="G176" s="65"/>
      <c r="H176" s="65"/>
      <c r="I176" s="66"/>
      <c r="J176" s="61"/>
      <c r="K176" s="67"/>
      <c r="L176" s="68"/>
    </row>
    <row r="177" spans="1:12" ht="18.5" customHeight="1" x14ac:dyDescent="0.2">
      <c r="A177" s="60"/>
      <c r="B177" s="61"/>
      <c r="C177" s="139"/>
      <c r="D177" s="63"/>
      <c r="E177" s="63"/>
      <c r="F177" s="64"/>
      <c r="G177" s="65"/>
      <c r="H177" s="65"/>
      <c r="I177" s="66"/>
      <c r="J177" s="61"/>
      <c r="K177" s="67"/>
      <c r="L177" s="68"/>
    </row>
    <row r="178" spans="1:12" ht="18.5" customHeight="1" x14ac:dyDescent="0.2">
      <c r="A178" s="60"/>
      <c r="B178" s="61"/>
      <c r="C178" s="139"/>
      <c r="D178" s="63"/>
      <c r="E178" s="63"/>
      <c r="F178" s="64"/>
      <c r="G178" s="65"/>
      <c r="H178" s="65"/>
      <c r="I178" s="66"/>
      <c r="J178" s="61"/>
      <c r="K178" s="67"/>
      <c r="L178" s="64"/>
    </row>
    <row r="179" spans="1:12" ht="18.5" customHeight="1" x14ac:dyDescent="0.2">
      <c r="A179" s="60"/>
      <c r="B179" s="61"/>
      <c r="C179" s="140"/>
      <c r="D179" s="63"/>
      <c r="E179" s="63"/>
      <c r="F179" s="64"/>
      <c r="G179" s="65"/>
      <c r="H179" s="65"/>
      <c r="I179" s="66"/>
      <c r="J179" s="61"/>
      <c r="K179" s="67"/>
      <c r="L179" s="64"/>
    </row>
    <row r="180" spans="1:12" ht="18.5" customHeight="1" x14ac:dyDescent="0.2">
      <c r="A180" s="60"/>
      <c r="B180" s="61"/>
      <c r="C180" s="140"/>
      <c r="D180" s="63"/>
      <c r="E180" s="63"/>
      <c r="F180" s="64"/>
      <c r="G180" s="65"/>
      <c r="H180" s="65"/>
      <c r="I180" s="66"/>
      <c r="J180" s="61"/>
      <c r="K180" s="67"/>
      <c r="L180" s="64"/>
    </row>
    <row r="181" spans="1:12" ht="18.5" customHeight="1" x14ac:dyDescent="0.2">
      <c r="A181" s="60"/>
      <c r="B181" s="61"/>
      <c r="C181" s="140"/>
      <c r="D181" s="63"/>
      <c r="E181" s="63"/>
      <c r="F181" s="64"/>
      <c r="G181" s="65"/>
      <c r="H181" s="65"/>
      <c r="I181" s="66"/>
      <c r="J181" s="61"/>
      <c r="K181" s="67"/>
      <c r="L181" s="64"/>
    </row>
    <row r="182" spans="1:12" ht="18.5" customHeight="1" x14ac:dyDescent="0.2">
      <c r="A182" s="60"/>
      <c r="B182" s="61"/>
      <c r="C182" s="140"/>
      <c r="D182" s="63"/>
      <c r="E182" s="63"/>
      <c r="F182" s="64"/>
      <c r="G182" s="65"/>
      <c r="H182" s="65"/>
      <c r="I182" s="66"/>
      <c r="J182" s="61"/>
      <c r="K182" s="67"/>
      <c r="L182" s="64"/>
    </row>
    <row r="183" spans="1:12" ht="18.5" customHeight="1" x14ac:dyDescent="0.2">
      <c r="A183" s="60"/>
      <c r="B183" s="61"/>
      <c r="C183" s="140"/>
      <c r="D183" s="63"/>
      <c r="E183" s="63"/>
      <c r="F183" s="64"/>
      <c r="G183" s="65"/>
      <c r="H183" s="65"/>
      <c r="I183" s="66"/>
      <c r="J183" s="61"/>
      <c r="K183" s="67"/>
      <c r="L183" s="64"/>
    </row>
    <row r="184" spans="1:12" ht="18.5" customHeight="1" x14ac:dyDescent="0.2">
      <c r="A184" s="60"/>
      <c r="B184" s="61"/>
      <c r="C184" s="140"/>
      <c r="D184" s="63"/>
      <c r="E184" s="63"/>
      <c r="F184" s="64"/>
      <c r="G184" s="65"/>
      <c r="H184" s="65"/>
      <c r="I184" s="66"/>
      <c r="J184" s="61"/>
      <c r="K184" s="67"/>
      <c r="L184" s="64"/>
    </row>
    <row r="185" spans="1:12" ht="18.5" customHeight="1" x14ac:dyDescent="0.2">
      <c r="A185" s="60"/>
      <c r="B185" s="61"/>
      <c r="C185" s="140"/>
      <c r="D185" s="63"/>
      <c r="E185" s="63"/>
      <c r="F185" s="64"/>
      <c r="G185" s="65"/>
      <c r="H185" s="65"/>
      <c r="I185" s="66"/>
      <c r="J185" s="61"/>
      <c r="K185" s="67"/>
      <c r="L185" s="64"/>
    </row>
    <row r="186" spans="1:12" ht="18.5" customHeight="1" x14ac:dyDescent="0.2">
      <c r="A186" s="60"/>
      <c r="B186" s="61"/>
      <c r="C186" s="140"/>
      <c r="D186" s="63"/>
      <c r="E186" s="63"/>
      <c r="F186" s="64"/>
      <c r="G186" s="65"/>
      <c r="H186" s="65"/>
      <c r="I186" s="66"/>
      <c r="J186" s="61"/>
      <c r="K186" s="67"/>
      <c r="L186" s="64"/>
    </row>
    <row r="187" spans="1:12" ht="18.5" customHeight="1" x14ac:dyDescent="0.2">
      <c r="A187" s="60"/>
      <c r="B187" s="61"/>
      <c r="C187" s="140"/>
      <c r="D187" s="63"/>
      <c r="E187" s="63"/>
      <c r="F187" s="64"/>
      <c r="G187" s="65"/>
      <c r="H187" s="65"/>
      <c r="I187" s="66"/>
      <c r="J187" s="61"/>
      <c r="K187" s="67"/>
      <c r="L187" s="64"/>
    </row>
    <row r="188" spans="1:12" ht="18.5" customHeight="1" x14ac:dyDescent="0.2">
      <c r="A188" s="60"/>
      <c r="B188" s="61"/>
      <c r="C188" s="140"/>
      <c r="D188" s="63"/>
      <c r="E188" s="63"/>
      <c r="F188" s="64"/>
      <c r="G188" s="65"/>
      <c r="H188" s="65"/>
      <c r="I188" s="66"/>
      <c r="J188" s="61"/>
      <c r="K188" s="67"/>
      <c r="L188" s="64"/>
    </row>
    <row r="189" spans="1:12" ht="18.5" customHeight="1" x14ac:dyDescent="0.2">
      <c r="A189" s="60"/>
      <c r="B189" s="61"/>
      <c r="C189" s="140"/>
      <c r="D189" s="63"/>
      <c r="E189" s="63"/>
      <c r="F189" s="64"/>
      <c r="G189" s="65"/>
      <c r="H189" s="65"/>
      <c r="I189" s="66"/>
      <c r="J189" s="61"/>
      <c r="K189" s="67"/>
      <c r="L189" s="64"/>
    </row>
    <row r="190" spans="1:12" ht="18.5" customHeight="1" x14ac:dyDescent="0.2">
      <c r="A190" s="60"/>
      <c r="B190" s="61"/>
      <c r="C190" s="140"/>
      <c r="D190" s="63"/>
      <c r="E190" s="63"/>
      <c r="F190" s="64"/>
      <c r="G190" s="65"/>
      <c r="H190" s="65"/>
      <c r="I190" s="66"/>
      <c r="J190" s="61"/>
      <c r="K190" s="67"/>
      <c r="L190" s="64"/>
    </row>
    <row r="191" spans="1:12" ht="18.5" customHeight="1" x14ac:dyDescent="0.2">
      <c r="A191" s="60"/>
      <c r="B191" s="61"/>
      <c r="C191" s="140"/>
      <c r="D191" s="63"/>
      <c r="E191" s="63"/>
      <c r="F191" s="64"/>
      <c r="G191" s="65"/>
      <c r="H191" s="65"/>
      <c r="I191" s="66"/>
      <c r="J191" s="61"/>
      <c r="K191" s="67"/>
      <c r="L191" s="64"/>
    </row>
    <row r="192" spans="1:12" ht="18.5" customHeight="1" x14ac:dyDescent="0.2">
      <c r="A192" s="60"/>
      <c r="B192" s="61"/>
      <c r="C192" s="140"/>
      <c r="D192" s="63"/>
      <c r="E192" s="63"/>
      <c r="F192" s="64"/>
      <c r="G192" s="65"/>
      <c r="H192" s="65"/>
      <c r="I192" s="66"/>
      <c r="J192" s="61"/>
      <c r="K192" s="67"/>
      <c r="L192" s="64"/>
    </row>
    <row r="193" spans="1:12" ht="18.5" customHeight="1" x14ac:dyDescent="0.2">
      <c r="A193" s="60"/>
      <c r="B193" s="61"/>
      <c r="C193" s="140"/>
      <c r="D193" s="63"/>
      <c r="E193" s="63"/>
      <c r="F193" s="64"/>
      <c r="G193" s="65"/>
      <c r="H193" s="65"/>
      <c r="I193" s="66"/>
      <c r="J193" s="61"/>
      <c r="K193" s="67"/>
      <c r="L193" s="64"/>
    </row>
    <row r="194" spans="1:12" ht="18.5" customHeight="1" x14ac:dyDescent="0.2">
      <c r="A194" s="60"/>
      <c r="B194" s="61"/>
      <c r="C194" s="140"/>
      <c r="D194" s="63"/>
      <c r="E194" s="63"/>
      <c r="F194" s="64"/>
      <c r="G194" s="65"/>
      <c r="H194" s="65"/>
      <c r="I194" s="66"/>
      <c r="J194" s="61"/>
      <c r="K194" s="67"/>
      <c r="L194" s="64"/>
    </row>
    <row r="195" spans="1:12" ht="18.5" customHeight="1" x14ac:dyDescent="0.2">
      <c r="A195" s="60"/>
      <c r="B195" s="61"/>
      <c r="C195" s="140"/>
      <c r="D195" s="63"/>
      <c r="E195" s="63"/>
      <c r="F195" s="64"/>
      <c r="G195" s="65"/>
      <c r="H195" s="65"/>
      <c r="I195" s="66"/>
      <c r="J195" s="61"/>
      <c r="K195" s="67"/>
      <c r="L195" s="64"/>
    </row>
    <row r="196" spans="1:12" ht="18.5" customHeight="1" x14ac:dyDescent="0.2">
      <c r="A196" s="60"/>
      <c r="B196" s="61"/>
      <c r="C196" s="140"/>
      <c r="D196" s="63"/>
      <c r="E196" s="63"/>
      <c r="F196" s="64"/>
      <c r="G196" s="65"/>
      <c r="H196" s="65"/>
      <c r="I196" s="66"/>
      <c r="J196" s="61"/>
      <c r="K196" s="67"/>
      <c r="L196" s="64"/>
    </row>
    <row r="197" spans="1:12" ht="18.5" customHeight="1" x14ac:dyDescent="0.2">
      <c r="A197" s="60"/>
      <c r="B197" s="61"/>
      <c r="C197" s="140"/>
      <c r="D197" s="63"/>
      <c r="E197" s="63"/>
      <c r="F197" s="64"/>
      <c r="G197" s="65"/>
      <c r="H197" s="65"/>
      <c r="I197" s="66"/>
      <c r="J197" s="61"/>
      <c r="K197" s="67"/>
      <c r="L197" s="64"/>
    </row>
    <row r="198" spans="1:12" ht="18.5" customHeight="1" x14ac:dyDescent="0.2">
      <c r="A198" s="60"/>
      <c r="B198" s="61"/>
      <c r="C198" s="140"/>
      <c r="D198" s="63"/>
      <c r="E198" s="63"/>
      <c r="F198" s="64"/>
      <c r="G198" s="65"/>
      <c r="H198" s="65"/>
      <c r="I198" s="66"/>
      <c r="J198" s="61"/>
      <c r="K198" s="67"/>
      <c r="L198" s="64"/>
    </row>
    <row r="199" spans="1:12" ht="18.5" customHeight="1" x14ac:dyDescent="0.2">
      <c r="A199" s="60"/>
      <c r="B199" s="61"/>
      <c r="C199" s="140"/>
      <c r="D199" s="63"/>
      <c r="E199" s="63"/>
      <c r="F199" s="64"/>
      <c r="G199" s="65"/>
      <c r="H199" s="65"/>
      <c r="I199" s="66"/>
      <c r="J199" s="61"/>
      <c r="K199" s="67"/>
      <c r="L199" s="64"/>
    </row>
    <row r="200" spans="1:12" ht="18.5" customHeight="1" x14ac:dyDescent="0.2">
      <c r="A200" s="60"/>
      <c r="B200" s="61"/>
      <c r="C200" s="140"/>
      <c r="D200" s="63"/>
      <c r="E200" s="63"/>
      <c r="F200" s="64"/>
      <c r="G200" s="65"/>
      <c r="H200" s="65"/>
      <c r="I200" s="66"/>
      <c r="J200" s="61"/>
      <c r="K200" s="67"/>
      <c r="L200" s="64"/>
    </row>
    <row r="201" spans="1:12" ht="18.5" customHeight="1" x14ac:dyDescent="0.2">
      <c r="A201" s="60"/>
      <c r="B201" s="61"/>
      <c r="C201" s="140"/>
      <c r="D201" s="63"/>
      <c r="E201" s="63"/>
      <c r="F201" s="64"/>
      <c r="G201" s="65"/>
      <c r="H201" s="65"/>
      <c r="I201" s="66"/>
      <c r="J201" s="61"/>
      <c r="K201" s="67"/>
      <c r="L201" s="64"/>
    </row>
    <row r="202" spans="1:12" ht="18.5" customHeight="1" x14ac:dyDescent="0.2">
      <c r="A202" s="60"/>
      <c r="B202" s="61"/>
      <c r="C202" s="140"/>
      <c r="D202" s="63"/>
      <c r="E202" s="63"/>
      <c r="F202" s="64"/>
      <c r="G202" s="65"/>
      <c r="H202" s="65"/>
      <c r="I202" s="66"/>
      <c r="J202" s="61"/>
      <c r="K202" s="67"/>
      <c r="L202" s="64"/>
    </row>
    <row r="203" spans="1:12" ht="18.5" customHeight="1" x14ac:dyDescent="0.2">
      <c r="A203" s="60"/>
      <c r="B203" s="61"/>
      <c r="C203" s="140"/>
      <c r="D203" s="63"/>
      <c r="E203" s="63"/>
      <c r="F203" s="64"/>
      <c r="G203" s="65"/>
      <c r="H203" s="65"/>
      <c r="I203" s="66"/>
      <c r="J203" s="61"/>
      <c r="K203" s="67"/>
      <c r="L203" s="64"/>
    </row>
    <row r="204" spans="1:12" ht="18.5" customHeight="1" x14ac:dyDescent="0.2">
      <c r="A204" s="60"/>
      <c r="B204" s="61"/>
      <c r="C204" s="140"/>
      <c r="D204" s="63"/>
      <c r="E204" s="63"/>
      <c r="F204" s="64"/>
      <c r="G204" s="65"/>
      <c r="H204" s="65"/>
      <c r="I204" s="66"/>
      <c r="J204" s="61"/>
      <c r="K204" s="67"/>
      <c r="L204" s="64"/>
    </row>
    <row r="205" spans="1:12" ht="18.5" customHeight="1" x14ac:dyDescent="0.2">
      <c r="A205" s="60"/>
      <c r="B205" s="61"/>
      <c r="C205" s="140"/>
      <c r="D205" s="63"/>
      <c r="E205" s="63"/>
      <c r="F205" s="64"/>
      <c r="G205" s="65"/>
      <c r="H205" s="65"/>
      <c r="I205" s="66"/>
      <c r="J205" s="61"/>
      <c r="K205" s="67"/>
      <c r="L205" s="64"/>
    </row>
    <row r="206" spans="1:12" ht="18.5" customHeight="1" x14ac:dyDescent="0.2">
      <c r="A206" s="60"/>
      <c r="B206" s="61"/>
      <c r="C206" s="140"/>
      <c r="D206" s="63"/>
      <c r="E206" s="63"/>
      <c r="F206" s="64"/>
      <c r="G206" s="65"/>
      <c r="H206" s="65"/>
      <c r="I206" s="66"/>
      <c r="J206" s="61"/>
      <c r="K206" s="67"/>
      <c r="L206" s="64"/>
    </row>
    <row r="207" spans="1:12" ht="18.5" customHeight="1" x14ac:dyDescent="0.2">
      <c r="A207" s="60"/>
      <c r="B207" s="61"/>
      <c r="C207" s="140"/>
      <c r="D207" s="63"/>
      <c r="E207" s="63"/>
      <c r="F207" s="64"/>
      <c r="G207" s="65"/>
      <c r="H207" s="65"/>
      <c r="I207" s="66"/>
      <c r="J207" s="61"/>
      <c r="K207" s="67"/>
      <c r="L207" s="64"/>
    </row>
    <row r="208" spans="1:12" ht="18.5" customHeight="1" x14ac:dyDescent="0.2">
      <c r="A208" s="60"/>
      <c r="B208" s="61"/>
      <c r="C208" s="140"/>
      <c r="D208" s="63"/>
      <c r="E208" s="63"/>
      <c r="F208" s="64"/>
      <c r="G208" s="65"/>
      <c r="H208" s="65"/>
      <c r="I208" s="66"/>
      <c r="J208" s="61"/>
      <c r="K208" s="67"/>
      <c r="L208" s="64"/>
    </row>
    <row r="209" spans="1:12" ht="18.5" customHeight="1" x14ac:dyDescent="0.2">
      <c r="A209" s="60"/>
      <c r="B209" s="61"/>
      <c r="C209" s="140"/>
      <c r="D209" s="63"/>
      <c r="E209" s="63"/>
      <c r="F209" s="64"/>
      <c r="G209" s="65"/>
      <c r="H209" s="65"/>
      <c r="I209" s="66"/>
      <c r="J209" s="61"/>
      <c r="K209" s="67"/>
      <c r="L209" s="64"/>
    </row>
    <row r="210" spans="1:12" ht="18.5" customHeight="1" x14ac:dyDescent="0.2">
      <c r="A210" s="60"/>
      <c r="B210" s="61"/>
      <c r="C210" s="140"/>
      <c r="D210" s="63"/>
      <c r="E210" s="63"/>
      <c r="F210" s="64"/>
      <c r="G210" s="65"/>
      <c r="H210" s="65"/>
      <c r="I210" s="66"/>
      <c r="J210" s="61"/>
      <c r="K210" s="67"/>
      <c r="L210" s="64"/>
    </row>
    <row r="211" spans="1:12" ht="18.5" customHeight="1" x14ac:dyDescent="0.2">
      <c r="A211" s="60"/>
      <c r="B211" s="61"/>
      <c r="C211" s="140"/>
      <c r="D211" s="63"/>
      <c r="E211" s="63"/>
      <c r="F211" s="64"/>
      <c r="G211" s="65"/>
      <c r="H211" s="65"/>
      <c r="I211" s="66"/>
      <c r="J211" s="61"/>
      <c r="K211" s="67"/>
      <c r="L211" s="64"/>
    </row>
    <row r="212" spans="1:12" ht="18.5" customHeight="1" x14ac:dyDescent="0.2">
      <c r="A212" s="60"/>
      <c r="B212" s="61"/>
      <c r="C212" s="140"/>
      <c r="D212" s="63"/>
      <c r="E212" s="63"/>
      <c r="F212" s="64"/>
      <c r="G212" s="65"/>
      <c r="H212" s="65"/>
      <c r="I212" s="66"/>
      <c r="J212" s="61"/>
      <c r="K212" s="67"/>
      <c r="L212" s="64"/>
    </row>
    <row r="213" spans="1:12" ht="18.5" customHeight="1" x14ac:dyDescent="0.2">
      <c r="A213" s="60"/>
      <c r="B213" s="61"/>
      <c r="C213" s="140"/>
      <c r="D213" s="63"/>
      <c r="E213" s="63"/>
      <c r="F213" s="64"/>
      <c r="G213" s="65"/>
      <c r="H213" s="65"/>
      <c r="I213" s="66"/>
      <c r="J213" s="61"/>
      <c r="K213" s="67"/>
      <c r="L213" s="64"/>
    </row>
    <row r="214" spans="1:12" ht="18.5" customHeight="1" x14ac:dyDescent="0.2">
      <c r="A214" s="60"/>
      <c r="B214" s="61"/>
      <c r="C214" s="140"/>
      <c r="D214" s="63"/>
      <c r="E214" s="63"/>
      <c r="F214" s="64"/>
      <c r="G214" s="65"/>
      <c r="H214" s="65"/>
      <c r="I214" s="66"/>
      <c r="J214" s="61"/>
      <c r="K214" s="67"/>
      <c r="L214" s="64"/>
    </row>
    <row r="215" spans="1:12" ht="18.5" customHeight="1" x14ac:dyDescent="0.2">
      <c r="A215" s="60"/>
      <c r="B215" s="61"/>
      <c r="C215" s="140"/>
      <c r="D215" s="63"/>
      <c r="E215" s="63"/>
      <c r="F215" s="64"/>
      <c r="G215" s="65"/>
      <c r="H215" s="65"/>
      <c r="I215" s="66"/>
      <c r="J215" s="61"/>
      <c r="K215" s="67"/>
      <c r="L215" s="64"/>
    </row>
    <row r="216" spans="1:12" ht="18.5" customHeight="1" x14ac:dyDescent="0.2">
      <c r="A216" s="60"/>
      <c r="B216" s="61"/>
      <c r="C216" s="140"/>
      <c r="D216" s="63"/>
      <c r="E216" s="63"/>
      <c r="F216" s="64"/>
      <c r="G216" s="65"/>
      <c r="H216" s="65"/>
      <c r="I216" s="66"/>
      <c r="J216" s="61"/>
      <c r="K216" s="67"/>
      <c r="L216" s="64"/>
    </row>
    <row r="217" spans="1:12" ht="18.5" customHeight="1" x14ac:dyDescent="0.2">
      <c r="A217" s="60"/>
      <c r="B217" s="61"/>
      <c r="C217" s="140"/>
      <c r="D217" s="63"/>
      <c r="E217" s="63"/>
      <c r="F217" s="64"/>
      <c r="G217" s="65"/>
      <c r="H217" s="65"/>
      <c r="I217" s="66"/>
      <c r="J217" s="61"/>
      <c r="K217" s="67"/>
      <c r="L217" s="64"/>
    </row>
    <row r="218" spans="1:12" ht="18.5" customHeight="1" x14ac:dyDescent="0.2">
      <c r="A218" s="60"/>
      <c r="B218" s="61"/>
      <c r="C218" s="140"/>
      <c r="D218" s="63"/>
      <c r="E218" s="63"/>
      <c r="F218" s="64"/>
      <c r="G218" s="65"/>
      <c r="H218" s="65"/>
      <c r="I218" s="66"/>
      <c r="J218" s="61"/>
      <c r="K218" s="67"/>
      <c r="L218" s="64"/>
    </row>
    <row r="219" spans="1:12" ht="18.5" customHeight="1" x14ac:dyDescent="0.2">
      <c r="A219" s="60"/>
      <c r="B219" s="61"/>
      <c r="C219" s="140"/>
      <c r="D219" s="63"/>
      <c r="E219" s="63"/>
      <c r="F219" s="64"/>
      <c r="G219" s="65"/>
      <c r="H219" s="65"/>
      <c r="I219" s="66"/>
      <c r="J219" s="61"/>
      <c r="K219" s="67"/>
      <c r="L219" s="64"/>
    </row>
    <row r="220" spans="1:12" ht="18.5" customHeight="1" x14ac:dyDescent="0.2">
      <c r="A220" s="60"/>
      <c r="B220" s="61"/>
      <c r="C220" s="140"/>
      <c r="D220" s="63"/>
      <c r="E220" s="63"/>
      <c r="F220" s="64"/>
      <c r="G220" s="65"/>
      <c r="H220" s="65"/>
      <c r="I220" s="66"/>
      <c r="J220" s="61"/>
      <c r="K220" s="67"/>
      <c r="L220" s="64"/>
    </row>
    <row r="221" spans="1:12" ht="18.5" customHeight="1" x14ac:dyDescent="0.2">
      <c r="A221" s="60"/>
      <c r="B221" s="61"/>
      <c r="C221" s="140"/>
      <c r="D221" s="63"/>
      <c r="E221" s="63"/>
      <c r="F221" s="64"/>
      <c r="G221" s="65"/>
      <c r="H221" s="65"/>
      <c r="I221" s="66"/>
      <c r="J221" s="61"/>
      <c r="K221" s="67"/>
      <c r="L221" s="64"/>
    </row>
    <row r="222" spans="1:12" ht="18.5" customHeight="1" x14ac:dyDescent="0.2">
      <c r="A222" s="60"/>
      <c r="B222" s="61"/>
      <c r="C222" s="140"/>
      <c r="D222" s="63"/>
      <c r="E222" s="63"/>
      <c r="F222" s="64"/>
      <c r="G222" s="65"/>
      <c r="H222" s="65"/>
      <c r="I222" s="66"/>
      <c r="J222" s="61"/>
      <c r="K222" s="67"/>
      <c r="L222" s="64"/>
    </row>
    <row r="223" spans="1:12" ht="18.5" customHeight="1" x14ac:dyDescent="0.2">
      <c r="A223" s="60"/>
      <c r="B223" s="61"/>
      <c r="C223" s="140"/>
      <c r="D223" s="63"/>
      <c r="E223" s="63"/>
      <c r="F223" s="64"/>
      <c r="G223" s="65"/>
      <c r="H223" s="65"/>
      <c r="I223" s="66"/>
      <c r="J223" s="61"/>
      <c r="K223" s="67"/>
      <c r="L223" s="64"/>
    </row>
    <row r="224" spans="1:12" ht="18.5" customHeight="1" x14ac:dyDescent="0.2">
      <c r="A224" s="60"/>
      <c r="B224" s="61"/>
      <c r="C224" s="140"/>
      <c r="D224" s="63"/>
      <c r="E224" s="63"/>
      <c r="F224" s="64"/>
      <c r="G224" s="65"/>
      <c r="H224" s="65"/>
      <c r="I224" s="66"/>
      <c r="J224" s="61"/>
      <c r="K224" s="67"/>
      <c r="L224" s="64"/>
    </row>
    <row r="225" spans="1:12" ht="18.5" customHeight="1" x14ac:dyDescent="0.2">
      <c r="A225" s="60"/>
      <c r="B225" s="61"/>
      <c r="C225" s="140"/>
      <c r="D225" s="63"/>
      <c r="E225" s="63"/>
      <c r="F225" s="64"/>
      <c r="G225" s="65"/>
      <c r="H225" s="65"/>
      <c r="I225" s="66"/>
      <c r="J225" s="61"/>
      <c r="K225" s="67"/>
      <c r="L225" s="64"/>
    </row>
    <row r="226" spans="1:12" ht="18.5" customHeight="1" x14ac:dyDescent="0.2">
      <c r="A226" s="60"/>
      <c r="B226" s="61"/>
      <c r="C226" s="140"/>
      <c r="D226" s="63"/>
      <c r="E226" s="63"/>
      <c r="F226" s="64"/>
      <c r="G226" s="65"/>
      <c r="H226" s="65"/>
      <c r="I226" s="66"/>
      <c r="J226" s="61"/>
      <c r="K226" s="67"/>
      <c r="L226" s="64"/>
    </row>
    <row r="227" spans="1:12" ht="18.5" customHeight="1" x14ac:dyDescent="0.2">
      <c r="A227" s="60"/>
      <c r="B227" s="61"/>
      <c r="C227" s="140"/>
      <c r="D227" s="63"/>
      <c r="E227" s="63"/>
      <c r="F227" s="64"/>
      <c r="G227" s="65"/>
      <c r="H227" s="65"/>
      <c r="I227" s="66"/>
      <c r="J227" s="61"/>
      <c r="K227" s="67"/>
      <c r="L227" s="64"/>
    </row>
    <row r="228" spans="1:12" ht="18.5" customHeight="1" x14ac:dyDescent="0.2">
      <c r="A228" s="60"/>
      <c r="B228" s="61"/>
      <c r="C228" s="140"/>
      <c r="D228" s="63"/>
      <c r="E228" s="63"/>
      <c r="F228" s="64"/>
      <c r="G228" s="65"/>
      <c r="H228" s="65"/>
      <c r="I228" s="66"/>
      <c r="J228" s="61"/>
      <c r="K228" s="67"/>
      <c r="L228" s="64"/>
    </row>
    <row r="229" spans="1:12" ht="18.5" customHeight="1" x14ac:dyDescent="0.2">
      <c r="A229" s="60"/>
      <c r="B229" s="61"/>
      <c r="C229" s="140"/>
      <c r="D229" s="63"/>
      <c r="E229" s="63"/>
      <c r="F229" s="64"/>
      <c r="G229" s="65"/>
      <c r="H229" s="65"/>
      <c r="I229" s="66"/>
      <c r="J229" s="61"/>
      <c r="K229" s="67"/>
      <c r="L229" s="64"/>
    </row>
    <row r="230" spans="1:12" ht="18.5" customHeight="1" x14ac:dyDescent="0.2">
      <c r="A230" s="60"/>
      <c r="B230" s="61"/>
      <c r="C230" s="140"/>
      <c r="D230" s="63"/>
      <c r="E230" s="63"/>
      <c r="F230" s="64"/>
      <c r="G230" s="65"/>
      <c r="H230" s="65"/>
      <c r="I230" s="66"/>
      <c r="J230" s="61"/>
      <c r="K230" s="67"/>
      <c r="L230" s="64"/>
    </row>
    <row r="231" spans="1:12" ht="18.5" customHeight="1" x14ac:dyDescent="0.2">
      <c r="A231" s="60"/>
      <c r="B231" s="61"/>
      <c r="C231" s="140"/>
      <c r="D231" s="63"/>
      <c r="E231" s="63"/>
      <c r="F231" s="64"/>
      <c r="G231" s="65"/>
      <c r="H231" s="65"/>
      <c r="I231" s="66"/>
      <c r="J231" s="61"/>
      <c r="K231" s="67"/>
      <c r="L231" s="64"/>
    </row>
    <row r="232" spans="1:12" ht="18.5" customHeight="1" x14ac:dyDescent="0.2">
      <c r="A232" s="60"/>
      <c r="B232" s="61"/>
      <c r="C232" s="140"/>
      <c r="D232" s="63"/>
      <c r="E232" s="63"/>
      <c r="F232" s="64"/>
      <c r="G232" s="65"/>
      <c r="H232" s="65"/>
      <c r="I232" s="66"/>
      <c r="J232" s="61"/>
      <c r="K232" s="67"/>
      <c r="L232" s="64"/>
    </row>
    <row r="233" spans="1:12" ht="18.5" customHeight="1" x14ac:dyDescent="0.2">
      <c r="A233" s="60"/>
      <c r="B233" s="61"/>
      <c r="C233" s="140"/>
      <c r="D233" s="63"/>
      <c r="E233" s="63"/>
      <c r="F233" s="64"/>
      <c r="G233" s="65"/>
      <c r="H233" s="65"/>
      <c r="I233" s="66"/>
      <c r="J233" s="61"/>
      <c r="K233" s="67"/>
      <c r="L233" s="64"/>
    </row>
    <row r="234" spans="1:12" ht="18.5" customHeight="1" x14ac:dyDescent="0.2">
      <c r="A234" s="60"/>
      <c r="B234" s="61"/>
      <c r="C234" s="140"/>
      <c r="D234" s="63"/>
      <c r="E234" s="63"/>
      <c r="F234" s="64"/>
      <c r="G234" s="65"/>
      <c r="H234" s="65"/>
      <c r="I234" s="66"/>
      <c r="J234" s="61"/>
      <c r="K234" s="67"/>
      <c r="L234" s="64"/>
    </row>
    <row r="235" spans="1:12" ht="18.5" customHeight="1" x14ac:dyDescent="0.2">
      <c r="A235" s="60"/>
      <c r="B235" s="61"/>
      <c r="C235" s="140"/>
      <c r="D235" s="63"/>
      <c r="E235" s="63"/>
      <c r="F235" s="64"/>
      <c r="G235" s="65"/>
      <c r="H235" s="65"/>
      <c r="I235" s="66"/>
      <c r="J235" s="61"/>
      <c r="K235" s="67"/>
      <c r="L235" s="64"/>
    </row>
    <row r="236" spans="1:12" ht="18.5" customHeight="1" x14ac:dyDescent="0.2">
      <c r="A236" s="60"/>
      <c r="B236" s="61"/>
      <c r="C236" s="140"/>
      <c r="D236" s="63"/>
      <c r="E236" s="63"/>
      <c r="F236" s="64"/>
      <c r="G236" s="65"/>
      <c r="H236" s="65"/>
      <c r="I236" s="66"/>
      <c r="J236" s="61"/>
      <c r="K236" s="67"/>
      <c r="L236" s="64"/>
    </row>
    <row r="237" spans="1:12" ht="18.5" customHeight="1" x14ac:dyDescent="0.2">
      <c r="A237" s="60"/>
      <c r="B237" s="61"/>
      <c r="C237" s="140"/>
      <c r="D237" s="63"/>
      <c r="E237" s="63"/>
      <c r="F237" s="64"/>
      <c r="G237" s="65"/>
      <c r="H237" s="65"/>
      <c r="I237" s="66"/>
      <c r="J237" s="61"/>
      <c r="K237" s="67"/>
      <c r="L237" s="64"/>
    </row>
    <row r="238" spans="1:12" ht="18.5" customHeight="1" x14ac:dyDescent="0.2">
      <c r="A238" s="60"/>
      <c r="B238" s="61"/>
      <c r="C238" s="140"/>
      <c r="D238" s="63"/>
      <c r="E238" s="63"/>
      <c r="F238" s="64"/>
      <c r="G238" s="65"/>
      <c r="H238" s="65"/>
      <c r="I238" s="66"/>
      <c r="J238" s="61"/>
      <c r="K238" s="67"/>
      <c r="L238" s="64"/>
    </row>
    <row r="239" spans="1:12" ht="18.5" customHeight="1" x14ac:dyDescent="0.2">
      <c r="A239" s="60"/>
      <c r="B239" s="61"/>
      <c r="C239" s="140"/>
      <c r="D239" s="63"/>
      <c r="E239" s="63"/>
      <c r="F239" s="64"/>
      <c r="G239" s="65"/>
      <c r="H239" s="65"/>
      <c r="I239" s="66"/>
      <c r="J239" s="61"/>
      <c r="K239" s="67"/>
      <c r="L239" s="64"/>
    </row>
    <row r="240" spans="1:12" ht="18.5" customHeight="1" x14ac:dyDescent="0.2">
      <c r="A240" s="60"/>
      <c r="B240" s="61"/>
      <c r="C240" s="140"/>
      <c r="D240" s="63"/>
      <c r="E240" s="63"/>
      <c r="F240" s="64"/>
      <c r="G240" s="65"/>
      <c r="H240" s="65"/>
      <c r="I240" s="66"/>
      <c r="J240" s="61"/>
      <c r="K240" s="67"/>
      <c r="L240" s="64"/>
    </row>
    <row r="241" spans="1:12" ht="18.5" customHeight="1" x14ac:dyDescent="0.2">
      <c r="A241" s="60"/>
      <c r="B241" s="61"/>
      <c r="C241" s="140"/>
      <c r="D241" s="63"/>
      <c r="E241" s="63"/>
      <c r="F241" s="64"/>
      <c r="G241" s="65"/>
      <c r="H241" s="65"/>
      <c r="I241" s="66"/>
      <c r="J241" s="61"/>
      <c r="K241" s="67"/>
      <c r="L241" s="64"/>
    </row>
    <row r="242" spans="1:12" ht="18.5" customHeight="1" x14ac:dyDescent="0.2">
      <c r="A242" s="60"/>
      <c r="B242" s="61"/>
      <c r="C242" s="140"/>
      <c r="D242" s="63"/>
      <c r="E242" s="63"/>
      <c r="F242" s="64"/>
      <c r="G242" s="65"/>
      <c r="H242" s="65"/>
      <c r="I242" s="66"/>
      <c r="J242" s="61"/>
      <c r="K242" s="67"/>
      <c r="L242" s="64"/>
    </row>
    <row r="243" spans="1:12" ht="18.5" customHeight="1" x14ac:dyDescent="0.2">
      <c r="A243" s="60"/>
      <c r="B243" s="61"/>
      <c r="C243" s="140"/>
      <c r="D243" s="63"/>
      <c r="E243" s="63"/>
      <c r="F243" s="64"/>
      <c r="G243" s="65"/>
      <c r="H243" s="65"/>
      <c r="I243" s="66"/>
      <c r="J243" s="61"/>
      <c r="K243" s="67"/>
      <c r="L243" s="64"/>
    </row>
    <row r="244" spans="1:12" ht="18.5" customHeight="1" x14ac:dyDescent="0.2">
      <c r="A244" s="60"/>
      <c r="B244" s="61"/>
      <c r="C244" s="140"/>
      <c r="D244" s="63"/>
      <c r="E244" s="63"/>
      <c r="F244" s="64"/>
      <c r="G244" s="65"/>
      <c r="H244" s="65"/>
      <c r="I244" s="66"/>
      <c r="J244" s="61"/>
      <c r="K244" s="67"/>
      <c r="L244" s="64"/>
    </row>
    <row r="245" spans="1:12" ht="18.5" customHeight="1" x14ac:dyDescent="0.2">
      <c r="A245" s="60"/>
      <c r="B245" s="61"/>
      <c r="C245" s="140"/>
      <c r="D245" s="63"/>
      <c r="E245" s="63"/>
      <c r="F245" s="64"/>
      <c r="G245" s="65"/>
      <c r="H245" s="65"/>
      <c r="I245" s="66"/>
      <c r="J245" s="61"/>
      <c r="K245" s="67"/>
      <c r="L245" s="64"/>
    </row>
    <row r="246" spans="1:12" ht="18.5" customHeight="1" x14ac:dyDescent="0.2">
      <c r="A246" s="60"/>
      <c r="B246" s="61"/>
      <c r="C246" s="140"/>
      <c r="D246" s="63"/>
      <c r="E246" s="63"/>
      <c r="F246" s="64"/>
      <c r="G246" s="65"/>
      <c r="H246" s="65"/>
      <c r="I246" s="66"/>
      <c r="J246" s="61"/>
      <c r="K246" s="67"/>
      <c r="L246" s="64"/>
    </row>
    <row r="247" spans="1:12" ht="18.5" customHeight="1" x14ac:dyDescent="0.2">
      <c r="A247" s="60"/>
      <c r="B247" s="61"/>
      <c r="C247" s="140"/>
      <c r="D247" s="63"/>
      <c r="E247" s="63"/>
      <c r="F247" s="64"/>
      <c r="G247" s="65"/>
      <c r="H247" s="65"/>
      <c r="I247" s="61"/>
      <c r="J247" s="61"/>
      <c r="K247" s="67"/>
      <c r="L247" s="64"/>
    </row>
    <row r="248" spans="1:12" ht="18.5" customHeight="1" x14ac:dyDescent="0.2">
      <c r="A248" s="60"/>
      <c r="B248" s="61"/>
      <c r="C248" s="139"/>
      <c r="D248" s="63"/>
      <c r="E248" s="63"/>
      <c r="F248" s="64"/>
      <c r="G248" s="65"/>
      <c r="H248" s="65"/>
      <c r="I248" s="66"/>
      <c r="J248" s="61"/>
      <c r="K248" s="67"/>
      <c r="L248" s="64"/>
    </row>
    <row r="249" spans="1:12" ht="18.5" customHeight="1" x14ac:dyDescent="0.2">
      <c r="A249" s="60"/>
      <c r="B249" s="61"/>
      <c r="C249" s="139"/>
      <c r="D249" s="63"/>
      <c r="E249" s="63"/>
      <c r="F249" s="64"/>
      <c r="G249" s="65"/>
      <c r="H249" s="65"/>
      <c r="I249" s="66"/>
      <c r="J249" s="61"/>
      <c r="K249" s="67"/>
      <c r="L249" s="64"/>
    </row>
    <row r="250" spans="1:12" ht="18.5" customHeight="1" x14ac:dyDescent="0.2">
      <c r="A250" s="60"/>
      <c r="B250" s="61"/>
      <c r="C250" s="139"/>
      <c r="D250" s="63"/>
      <c r="E250" s="63"/>
      <c r="F250" s="64"/>
      <c r="G250" s="65"/>
      <c r="H250" s="65"/>
      <c r="I250" s="66"/>
      <c r="J250" s="61"/>
      <c r="K250" s="67"/>
      <c r="L250" s="64"/>
    </row>
    <row r="251" spans="1:12" ht="18.5" customHeight="1" x14ac:dyDescent="0.2">
      <c r="A251" s="60"/>
      <c r="B251" s="61"/>
      <c r="C251" s="139"/>
      <c r="D251" s="63"/>
      <c r="E251" s="63"/>
      <c r="F251" s="64"/>
      <c r="G251" s="65"/>
      <c r="H251" s="65"/>
      <c r="I251" s="61"/>
      <c r="J251" s="61"/>
      <c r="K251" s="67"/>
      <c r="L251" s="64"/>
    </row>
    <row r="252" spans="1:12" ht="18.5" customHeight="1" x14ac:dyDescent="0.2">
      <c r="A252" s="60"/>
      <c r="B252" s="61"/>
      <c r="C252" s="139"/>
      <c r="D252" s="63"/>
      <c r="E252" s="63"/>
      <c r="F252" s="64"/>
      <c r="G252" s="65"/>
      <c r="H252" s="65"/>
      <c r="I252" s="61"/>
      <c r="J252" s="61"/>
      <c r="K252" s="67"/>
      <c r="L252" s="64"/>
    </row>
    <row r="253" spans="1:12" ht="18.5" customHeight="1" x14ac:dyDescent="0.2">
      <c r="A253" s="60"/>
      <c r="B253" s="61"/>
      <c r="C253" s="139"/>
      <c r="D253" s="63"/>
      <c r="E253" s="63"/>
      <c r="F253" s="64"/>
      <c r="G253" s="65"/>
      <c r="H253" s="65"/>
      <c r="I253" s="61"/>
      <c r="J253" s="61"/>
      <c r="K253" s="67"/>
      <c r="L253" s="64"/>
    </row>
    <row r="254" spans="1:12" ht="18.5" customHeight="1" x14ac:dyDescent="0.2">
      <c r="A254" s="60"/>
      <c r="B254" s="61"/>
      <c r="C254" s="139"/>
      <c r="D254" s="63"/>
      <c r="E254" s="63"/>
      <c r="F254" s="64"/>
      <c r="G254" s="65"/>
      <c r="H254" s="65"/>
      <c r="I254" s="61"/>
      <c r="J254" s="61"/>
      <c r="K254" s="67"/>
      <c r="L254" s="64"/>
    </row>
    <row r="255" spans="1:12" ht="18.5" customHeight="1" x14ac:dyDescent="0.2">
      <c r="A255" s="60"/>
      <c r="B255" s="61"/>
      <c r="C255" s="139"/>
      <c r="D255" s="63"/>
      <c r="E255" s="63"/>
      <c r="F255" s="64"/>
      <c r="G255" s="65"/>
      <c r="H255" s="65"/>
      <c r="I255" s="61"/>
      <c r="J255" s="61"/>
      <c r="K255" s="67"/>
      <c r="L255" s="64"/>
    </row>
    <row r="256" spans="1:12" ht="18.5" customHeight="1" x14ac:dyDescent="0.2">
      <c r="A256" s="60"/>
      <c r="B256" s="61"/>
      <c r="C256" s="139"/>
      <c r="D256" s="63"/>
      <c r="E256" s="63"/>
      <c r="F256" s="64"/>
      <c r="G256" s="65"/>
      <c r="H256" s="65"/>
      <c r="I256" s="61"/>
      <c r="J256" s="61"/>
      <c r="K256" s="67"/>
      <c r="L256" s="64"/>
    </row>
    <row r="257" spans="1:12" ht="18.5" customHeight="1" x14ac:dyDescent="0.2">
      <c r="A257" s="60"/>
      <c r="B257" s="61"/>
      <c r="C257" s="140"/>
      <c r="D257" s="63"/>
      <c r="E257" s="63"/>
      <c r="F257" s="64"/>
      <c r="G257" s="65"/>
      <c r="H257" s="65"/>
      <c r="I257" s="61"/>
      <c r="J257" s="61"/>
      <c r="K257" s="67"/>
      <c r="L257" s="64"/>
    </row>
    <row r="258" spans="1:12" ht="18.5" customHeight="1" x14ac:dyDescent="0.2">
      <c r="A258" s="60"/>
      <c r="B258" s="61"/>
      <c r="C258" s="140"/>
      <c r="D258" s="63"/>
      <c r="E258" s="63"/>
      <c r="F258" s="64"/>
      <c r="G258" s="65"/>
      <c r="H258" s="65"/>
      <c r="I258" s="61"/>
      <c r="J258" s="61"/>
      <c r="K258" s="67"/>
      <c r="L258" s="64"/>
    </row>
    <row r="259" spans="1:12" ht="18.5" customHeight="1" x14ac:dyDescent="0.2">
      <c r="A259" s="60"/>
      <c r="B259" s="61"/>
      <c r="C259" s="140"/>
      <c r="D259" s="63"/>
      <c r="E259" s="63"/>
      <c r="F259" s="64"/>
      <c r="G259" s="65"/>
      <c r="H259" s="65"/>
      <c r="I259" s="61"/>
      <c r="J259" s="61"/>
      <c r="K259" s="67"/>
      <c r="L259" s="64"/>
    </row>
    <row r="260" spans="1:12" ht="18.5" customHeight="1" x14ac:dyDescent="0.2">
      <c r="A260" s="60"/>
      <c r="B260" s="61"/>
      <c r="C260" s="140"/>
      <c r="D260" s="63"/>
      <c r="E260" s="63"/>
      <c r="F260" s="64"/>
      <c r="G260" s="65"/>
      <c r="H260" s="65"/>
      <c r="I260" s="61"/>
      <c r="J260" s="61"/>
      <c r="K260" s="67"/>
      <c r="L260" s="64"/>
    </row>
    <row r="261" spans="1:12" ht="18.5" customHeight="1" x14ac:dyDescent="0.2">
      <c r="A261" s="60"/>
      <c r="B261" s="61"/>
      <c r="C261" s="140"/>
      <c r="D261" s="63"/>
      <c r="E261" s="63"/>
      <c r="F261" s="64"/>
      <c r="G261" s="65"/>
      <c r="H261" s="65"/>
      <c r="I261" s="61"/>
      <c r="J261" s="61"/>
      <c r="K261" s="67"/>
      <c r="L261" s="64"/>
    </row>
    <row r="262" spans="1:12" ht="18.5" customHeight="1" x14ac:dyDescent="0.2">
      <c r="A262" s="60"/>
      <c r="B262" s="61"/>
      <c r="C262" s="140"/>
      <c r="D262" s="63"/>
      <c r="E262" s="63"/>
      <c r="F262" s="64"/>
      <c r="G262" s="65"/>
      <c r="H262" s="65"/>
      <c r="I262" s="61"/>
      <c r="J262" s="61"/>
      <c r="K262" s="67"/>
      <c r="L262" s="64"/>
    </row>
    <row r="263" spans="1:12" ht="18.5" customHeight="1" x14ac:dyDescent="0.2">
      <c r="A263" s="60"/>
      <c r="B263" s="61"/>
      <c r="C263" s="140"/>
      <c r="D263" s="63"/>
      <c r="E263" s="63"/>
      <c r="F263" s="64"/>
      <c r="G263" s="65"/>
      <c r="H263" s="65"/>
      <c r="I263" s="61"/>
      <c r="J263" s="61"/>
      <c r="K263" s="67"/>
      <c r="L263" s="64"/>
    </row>
    <row r="264" spans="1:12" ht="18.5" customHeight="1" x14ac:dyDescent="0.2">
      <c r="A264" s="60"/>
      <c r="B264" s="61"/>
      <c r="C264" s="140"/>
      <c r="D264" s="63"/>
      <c r="E264" s="63"/>
      <c r="F264" s="64"/>
      <c r="G264" s="65"/>
      <c r="H264" s="65"/>
      <c r="I264" s="61"/>
      <c r="J264" s="61"/>
      <c r="K264" s="67"/>
      <c r="L264" s="64"/>
    </row>
    <row r="265" spans="1:12" ht="18.5" customHeight="1" x14ac:dyDescent="0.2">
      <c r="A265" s="60"/>
      <c r="B265" s="61"/>
      <c r="C265" s="139"/>
      <c r="D265" s="63"/>
      <c r="E265" s="63"/>
      <c r="F265" s="64"/>
      <c r="G265" s="65"/>
      <c r="H265" s="65"/>
      <c r="I265" s="61"/>
      <c r="J265" s="61"/>
      <c r="K265" s="67"/>
      <c r="L265" s="64"/>
    </row>
    <row r="266" spans="1:12" ht="18.5" customHeight="1" x14ac:dyDescent="0.2">
      <c r="A266" s="60"/>
      <c r="B266" s="61"/>
      <c r="C266" s="139"/>
      <c r="D266" s="63"/>
      <c r="E266" s="63"/>
      <c r="F266" s="64"/>
      <c r="G266" s="65"/>
      <c r="H266" s="65"/>
      <c r="I266" s="61"/>
      <c r="J266" s="61"/>
      <c r="K266" s="67"/>
      <c r="L266" s="64"/>
    </row>
    <row r="267" spans="1:12" ht="18.5" customHeight="1" x14ac:dyDescent="0.2">
      <c r="A267" s="60"/>
      <c r="B267" s="61"/>
      <c r="C267" s="139"/>
      <c r="D267" s="63"/>
      <c r="E267" s="63"/>
      <c r="F267" s="64"/>
      <c r="G267" s="65"/>
      <c r="H267" s="65"/>
      <c r="I267" s="61"/>
      <c r="J267" s="61"/>
      <c r="K267" s="67"/>
      <c r="L267" s="64"/>
    </row>
    <row r="268" spans="1:12" ht="18.5" customHeight="1" x14ac:dyDescent="0.2">
      <c r="A268" s="60"/>
      <c r="B268" s="61"/>
      <c r="C268" s="139"/>
      <c r="D268" s="63"/>
      <c r="E268" s="63"/>
      <c r="F268" s="64"/>
      <c r="G268" s="65"/>
      <c r="H268" s="65"/>
      <c r="I268" s="61"/>
      <c r="J268" s="61"/>
      <c r="K268" s="67"/>
      <c r="L268" s="64"/>
    </row>
    <row r="269" spans="1:12" ht="18.5" customHeight="1" x14ac:dyDescent="0.2">
      <c r="A269" s="60"/>
      <c r="B269" s="61"/>
      <c r="C269" s="139"/>
      <c r="D269" s="63"/>
      <c r="E269" s="63"/>
      <c r="F269" s="64"/>
      <c r="G269" s="65"/>
      <c r="H269" s="65"/>
      <c r="I269" s="61"/>
      <c r="J269" s="61"/>
      <c r="K269" s="67"/>
      <c r="L269" s="64"/>
    </row>
    <row r="270" spans="1:12" ht="18.5" customHeight="1" x14ac:dyDescent="0.2">
      <c r="A270" s="60"/>
      <c r="B270" s="61"/>
      <c r="C270" s="140"/>
      <c r="D270" s="63"/>
      <c r="E270" s="63"/>
      <c r="F270" s="64"/>
      <c r="G270" s="65"/>
      <c r="H270" s="65"/>
      <c r="I270" s="61"/>
      <c r="J270" s="61"/>
      <c r="K270" s="67"/>
      <c r="L270" s="64"/>
    </row>
    <row r="271" spans="1:12" ht="18.5" customHeight="1" x14ac:dyDescent="0.2">
      <c r="A271" s="60"/>
      <c r="B271" s="61"/>
      <c r="C271" s="139"/>
      <c r="D271" s="63"/>
      <c r="E271" s="63"/>
      <c r="F271" s="64"/>
      <c r="G271" s="65"/>
      <c r="H271" s="65"/>
      <c r="I271" s="61"/>
      <c r="J271" s="61"/>
      <c r="K271" s="67"/>
      <c r="L271" s="64"/>
    </row>
    <row r="272" spans="1:12" ht="18.5" customHeight="1" x14ac:dyDescent="0.2">
      <c r="A272" s="60"/>
      <c r="B272" s="61"/>
      <c r="C272" s="139"/>
      <c r="D272" s="63"/>
      <c r="E272" s="63"/>
      <c r="F272" s="64"/>
      <c r="G272" s="65"/>
      <c r="H272" s="65"/>
      <c r="I272" s="61"/>
      <c r="J272" s="61"/>
      <c r="K272" s="67"/>
      <c r="L272" s="64"/>
    </row>
    <row r="273" spans="1:12" ht="18.5" customHeight="1" x14ac:dyDescent="0.2">
      <c r="A273" s="60"/>
      <c r="B273" s="61"/>
      <c r="C273" s="139"/>
      <c r="D273" s="63"/>
      <c r="E273" s="63"/>
      <c r="F273" s="64"/>
      <c r="G273" s="65"/>
      <c r="H273" s="65"/>
      <c r="I273" s="61"/>
      <c r="J273" s="61"/>
      <c r="K273" s="67"/>
      <c r="L273" s="64"/>
    </row>
    <row r="274" spans="1:12" ht="18.5" customHeight="1" x14ac:dyDescent="0.2">
      <c r="A274" s="60"/>
      <c r="B274" s="61"/>
      <c r="C274" s="140"/>
      <c r="D274" s="63"/>
      <c r="E274" s="63"/>
      <c r="F274" s="64"/>
      <c r="G274" s="65"/>
      <c r="H274" s="65"/>
      <c r="I274" s="61"/>
      <c r="J274" s="61"/>
      <c r="K274" s="67"/>
      <c r="L274" s="64"/>
    </row>
    <row r="275" spans="1:12" ht="18.5" customHeight="1" x14ac:dyDescent="0.2">
      <c r="A275" s="60"/>
      <c r="B275" s="61"/>
      <c r="C275" s="139"/>
      <c r="D275" s="63"/>
      <c r="E275" s="63"/>
      <c r="F275" s="64"/>
      <c r="G275" s="65"/>
      <c r="H275" s="65"/>
      <c r="I275" s="61"/>
      <c r="K275" s="67"/>
      <c r="L275" s="64"/>
    </row>
    <row r="276" spans="1:12" ht="18.5" customHeight="1" x14ac:dyDescent="0.2">
      <c r="A276" s="60"/>
      <c r="B276" s="61"/>
      <c r="C276" s="140"/>
      <c r="D276" s="63"/>
      <c r="E276" s="63"/>
      <c r="F276" s="64"/>
      <c r="G276" s="65"/>
      <c r="H276" s="65"/>
      <c r="I276" s="61"/>
      <c r="J276" s="61"/>
      <c r="K276" s="67"/>
      <c r="L276" s="64"/>
    </row>
    <row r="277" spans="1:12" ht="18.5" customHeight="1" x14ac:dyDescent="0.2">
      <c r="A277" s="60"/>
      <c r="B277" s="61"/>
      <c r="C277" s="139"/>
      <c r="D277" s="63"/>
      <c r="E277" s="63"/>
      <c r="F277" s="64"/>
      <c r="G277" s="65"/>
      <c r="H277" s="65"/>
      <c r="I277" s="61"/>
      <c r="J277" s="61"/>
      <c r="K277" s="67"/>
      <c r="L277" s="64"/>
    </row>
    <row r="278" spans="1:12" ht="18.5" customHeight="1" x14ac:dyDescent="0.2">
      <c r="A278" s="60"/>
      <c r="B278" s="61"/>
      <c r="C278" s="139"/>
      <c r="D278" s="63"/>
      <c r="E278" s="63"/>
      <c r="F278" s="64"/>
      <c r="G278" s="65"/>
      <c r="H278" s="65"/>
      <c r="I278" s="61"/>
      <c r="J278" s="61"/>
      <c r="K278" s="67"/>
      <c r="L278" s="64"/>
    </row>
    <row r="279" spans="1:12" ht="18.5" customHeight="1" x14ac:dyDescent="0.2">
      <c r="A279" s="60"/>
      <c r="B279" s="61"/>
      <c r="C279" s="139"/>
      <c r="D279" s="63"/>
      <c r="E279" s="63"/>
      <c r="F279" s="64"/>
      <c r="G279" s="65"/>
      <c r="H279" s="65"/>
      <c r="I279" s="61"/>
      <c r="J279" s="61"/>
      <c r="K279" s="67"/>
      <c r="L279" s="64"/>
    </row>
    <row r="280" spans="1:12" ht="18.5" customHeight="1" x14ac:dyDescent="0.2">
      <c r="A280" s="60"/>
      <c r="B280" s="61"/>
      <c r="C280" s="139"/>
      <c r="D280" s="63"/>
      <c r="E280" s="63"/>
      <c r="F280" s="64"/>
      <c r="G280" s="65"/>
      <c r="H280" s="65"/>
      <c r="I280" s="61"/>
      <c r="J280" s="61"/>
      <c r="K280" s="67"/>
      <c r="L280" s="64"/>
    </row>
    <row r="281" spans="1:12" ht="18.5" customHeight="1" x14ac:dyDescent="0.2">
      <c r="A281" s="60"/>
      <c r="B281" s="61"/>
      <c r="C281" s="139"/>
      <c r="D281" s="63"/>
      <c r="E281" s="63"/>
      <c r="F281" s="64"/>
      <c r="G281" s="65"/>
      <c r="H281" s="65"/>
      <c r="I281" s="61"/>
      <c r="J281" s="61"/>
      <c r="K281" s="67"/>
      <c r="L281" s="64"/>
    </row>
    <row r="282" spans="1:12" ht="18.5" customHeight="1" x14ac:dyDescent="0.2">
      <c r="A282" s="60"/>
      <c r="B282" s="61"/>
      <c r="C282" s="140"/>
      <c r="D282" s="63"/>
      <c r="E282" s="63"/>
      <c r="F282" s="64"/>
      <c r="G282" s="65"/>
      <c r="H282" s="65"/>
      <c r="I282" s="61"/>
      <c r="J282" s="61"/>
      <c r="K282" s="67"/>
      <c r="L282" s="64"/>
    </row>
    <row r="283" spans="1:12" ht="18.5" customHeight="1" x14ac:dyDescent="0.2">
      <c r="A283" s="60"/>
      <c r="B283" s="61"/>
      <c r="C283" s="139"/>
      <c r="D283" s="63"/>
      <c r="E283" s="63"/>
      <c r="F283" s="64"/>
      <c r="G283" s="65"/>
      <c r="H283" s="65"/>
      <c r="I283" s="61"/>
      <c r="J283" s="61"/>
      <c r="K283" s="67"/>
      <c r="L283" s="64"/>
    </row>
    <row r="284" spans="1:12" ht="18.5" customHeight="1" x14ac:dyDescent="0.2">
      <c r="A284" s="60"/>
      <c r="B284" s="61"/>
      <c r="C284" s="139"/>
      <c r="D284" s="63"/>
      <c r="E284" s="63"/>
      <c r="F284" s="64"/>
      <c r="G284" s="65"/>
      <c r="H284" s="65"/>
      <c r="I284" s="61"/>
      <c r="J284" s="61"/>
      <c r="K284" s="67"/>
      <c r="L284" s="64"/>
    </row>
    <row r="285" spans="1:12" ht="18.5" customHeight="1" x14ac:dyDescent="0.2">
      <c r="A285" s="60"/>
      <c r="B285" s="61"/>
      <c r="C285" s="139"/>
      <c r="D285" s="63"/>
      <c r="E285" s="63"/>
      <c r="F285" s="64"/>
      <c r="G285" s="65"/>
      <c r="H285" s="65"/>
      <c r="I285" s="61"/>
      <c r="J285" s="61"/>
      <c r="K285" s="67"/>
      <c r="L285" s="64"/>
    </row>
    <row r="286" spans="1:12" ht="18.5" customHeight="1" x14ac:dyDescent="0.2">
      <c r="A286" s="60"/>
      <c r="B286" s="61"/>
      <c r="C286" s="139"/>
      <c r="D286" s="63"/>
      <c r="E286" s="63"/>
      <c r="F286" s="64"/>
      <c r="G286" s="65"/>
      <c r="H286" s="65"/>
      <c r="I286" s="61"/>
      <c r="J286" s="61"/>
      <c r="K286" s="67"/>
      <c r="L286" s="64"/>
    </row>
    <row r="287" spans="1:12" ht="18.5" customHeight="1" x14ac:dyDescent="0.2">
      <c r="A287" s="60"/>
      <c r="B287" s="61"/>
      <c r="C287" s="139"/>
      <c r="D287" s="63"/>
      <c r="E287" s="63"/>
      <c r="F287" s="64"/>
      <c r="G287" s="65"/>
      <c r="H287" s="65"/>
      <c r="I287" s="61"/>
      <c r="J287" s="61"/>
      <c r="K287" s="67"/>
      <c r="L287" s="64"/>
    </row>
    <row r="288" spans="1:12" ht="18.5" customHeight="1" x14ac:dyDescent="0.2">
      <c r="A288" s="60"/>
      <c r="B288" s="61"/>
      <c r="C288" s="139"/>
      <c r="D288" s="63"/>
      <c r="E288" s="63"/>
      <c r="F288" s="64"/>
      <c r="G288" s="65"/>
      <c r="H288" s="65"/>
      <c r="I288" s="61"/>
      <c r="J288" s="61"/>
      <c r="K288" s="67"/>
      <c r="L288" s="64"/>
    </row>
    <row r="289" spans="1:12" ht="18.5" customHeight="1" x14ac:dyDescent="0.2">
      <c r="A289" s="60"/>
      <c r="B289" s="61"/>
      <c r="C289" s="139"/>
      <c r="D289" s="63"/>
      <c r="E289" s="63"/>
      <c r="F289" s="64"/>
      <c r="G289" s="65"/>
      <c r="H289" s="65"/>
      <c r="I289" s="61"/>
      <c r="J289" s="61"/>
      <c r="K289" s="67"/>
      <c r="L289" s="64"/>
    </row>
    <row r="290" spans="1:12" ht="18.5" customHeight="1" x14ac:dyDescent="0.2">
      <c r="A290" s="60"/>
      <c r="B290" s="61"/>
      <c r="C290" s="140"/>
      <c r="D290" s="63"/>
      <c r="E290" s="63"/>
      <c r="F290" s="64"/>
      <c r="G290" s="65"/>
      <c r="H290" s="65"/>
      <c r="I290" s="61"/>
      <c r="J290" s="61"/>
      <c r="K290" s="67"/>
      <c r="L290" s="64"/>
    </row>
    <row r="291" spans="1:12" ht="18.5" customHeight="1" x14ac:dyDescent="0.2">
      <c r="A291" s="60"/>
      <c r="B291" s="61"/>
      <c r="C291" s="140"/>
      <c r="D291" s="63"/>
      <c r="E291" s="63"/>
      <c r="F291" s="64"/>
      <c r="G291" s="65"/>
      <c r="H291" s="65"/>
      <c r="I291" s="61"/>
      <c r="K291" s="67"/>
      <c r="L291" s="64"/>
    </row>
    <row r="292" spans="1:12" ht="18.5" customHeight="1" x14ac:dyDescent="0.2">
      <c r="A292" s="60"/>
      <c r="B292" s="61"/>
      <c r="C292" s="139"/>
      <c r="D292" s="63"/>
      <c r="E292" s="63"/>
      <c r="F292" s="64"/>
      <c r="G292" s="65"/>
      <c r="H292" s="65"/>
      <c r="I292" s="61"/>
      <c r="K292" s="67"/>
      <c r="L292" s="64"/>
    </row>
    <row r="293" spans="1:12" ht="18.5" customHeight="1" x14ac:dyDescent="0.2">
      <c r="A293" s="60"/>
      <c r="B293" s="61"/>
      <c r="C293" s="139"/>
      <c r="D293" s="63"/>
      <c r="E293" s="63"/>
      <c r="F293" s="64"/>
      <c r="G293" s="65"/>
      <c r="H293" s="65"/>
      <c r="I293" s="61"/>
      <c r="J293" s="61"/>
      <c r="K293" s="67"/>
      <c r="L293" s="64"/>
    </row>
    <row r="294" spans="1:12" ht="18.5" customHeight="1" x14ac:dyDescent="0.2">
      <c r="A294" s="60"/>
      <c r="B294" s="61"/>
      <c r="C294" s="140"/>
      <c r="D294" s="63"/>
      <c r="E294" s="63"/>
      <c r="F294" s="64"/>
      <c r="G294" s="65"/>
      <c r="H294" s="65"/>
      <c r="I294" s="61"/>
      <c r="J294" s="61"/>
      <c r="K294" s="67"/>
      <c r="L294" s="64"/>
    </row>
    <row r="295" spans="1:12" ht="18.5" customHeight="1" x14ac:dyDescent="0.2">
      <c r="A295" s="60"/>
      <c r="B295" s="61"/>
      <c r="C295" s="139"/>
      <c r="D295" s="63"/>
      <c r="E295" s="63"/>
      <c r="F295" s="64"/>
      <c r="G295" s="65"/>
      <c r="H295" s="65"/>
      <c r="I295" s="61"/>
      <c r="J295" s="61"/>
      <c r="K295" s="67"/>
      <c r="L295" s="64"/>
    </row>
    <row r="296" spans="1:12" ht="18.5" customHeight="1" x14ac:dyDescent="0.2">
      <c r="A296" s="60"/>
      <c r="B296" s="61"/>
      <c r="C296" s="140"/>
      <c r="D296" s="63"/>
      <c r="E296" s="63"/>
      <c r="F296" s="64"/>
      <c r="G296" s="65"/>
      <c r="H296" s="65"/>
      <c r="I296" s="61"/>
      <c r="J296" s="61"/>
      <c r="K296" s="67"/>
      <c r="L296" s="64"/>
    </row>
    <row r="297" spans="1:12" ht="18.5" customHeight="1" x14ac:dyDescent="0.2">
      <c r="A297" s="60"/>
      <c r="B297" s="61"/>
      <c r="C297" s="140"/>
      <c r="D297" s="63"/>
      <c r="E297" s="63"/>
      <c r="F297" s="64"/>
      <c r="G297" s="65"/>
      <c r="H297" s="65"/>
      <c r="I297" s="61"/>
      <c r="J297" s="61"/>
      <c r="K297" s="67"/>
      <c r="L297" s="64"/>
    </row>
    <row r="298" spans="1:12" ht="18.5" customHeight="1" x14ac:dyDescent="0.2">
      <c r="A298" s="60"/>
      <c r="B298" s="61"/>
      <c r="C298" s="139"/>
      <c r="D298" s="63"/>
      <c r="E298" s="63"/>
      <c r="F298" s="64"/>
      <c r="G298" s="65"/>
      <c r="H298" s="65"/>
      <c r="I298" s="61"/>
      <c r="J298" s="61"/>
      <c r="K298" s="67"/>
      <c r="L298" s="64"/>
    </row>
    <row r="299" spans="1:12" ht="18.5" customHeight="1" x14ac:dyDescent="0.2">
      <c r="A299" s="60"/>
      <c r="B299" s="61"/>
      <c r="C299" s="139"/>
      <c r="D299" s="63"/>
      <c r="E299" s="63"/>
      <c r="F299" s="64"/>
      <c r="G299" s="65"/>
      <c r="H299" s="65"/>
      <c r="I299" s="61"/>
      <c r="J299" s="61"/>
      <c r="K299" s="67"/>
      <c r="L299" s="64"/>
    </row>
    <row r="300" spans="1:12" ht="18.5" customHeight="1" x14ac:dyDescent="0.2">
      <c r="A300" s="60"/>
      <c r="B300" s="61"/>
      <c r="C300" s="139"/>
      <c r="D300" s="63"/>
      <c r="E300" s="63"/>
      <c r="F300" s="64"/>
      <c r="G300" s="65"/>
      <c r="H300" s="65"/>
      <c r="I300" s="61"/>
      <c r="J300" s="61"/>
      <c r="K300" s="67"/>
      <c r="L300" s="64"/>
    </row>
    <row r="301" spans="1:12" ht="18.5" customHeight="1" x14ac:dyDescent="0.2">
      <c r="A301" s="60"/>
      <c r="B301" s="61"/>
      <c r="C301" s="140"/>
      <c r="D301" s="63"/>
      <c r="E301" s="63"/>
      <c r="F301" s="64"/>
      <c r="G301" s="65"/>
      <c r="H301" s="65"/>
      <c r="I301" s="61"/>
      <c r="J301" s="61"/>
      <c r="K301" s="67"/>
      <c r="L301" s="64"/>
    </row>
    <row r="302" spans="1:12" ht="18.5" customHeight="1" x14ac:dyDescent="0.2">
      <c r="A302" s="60"/>
      <c r="B302" s="61"/>
      <c r="C302" s="139"/>
      <c r="D302" s="63"/>
      <c r="E302" s="63"/>
      <c r="F302" s="64"/>
      <c r="G302" s="65"/>
      <c r="H302" s="65"/>
      <c r="I302" s="61"/>
      <c r="J302" s="61"/>
      <c r="K302" s="67"/>
      <c r="L302" s="64"/>
    </row>
    <row r="303" spans="1:12" ht="18.5" customHeight="1" x14ac:dyDescent="0.2">
      <c r="A303" s="60"/>
      <c r="B303" s="61"/>
      <c r="C303" s="139"/>
      <c r="D303" s="63"/>
      <c r="E303" s="63"/>
      <c r="F303" s="64"/>
      <c r="G303" s="65"/>
      <c r="H303" s="65"/>
      <c r="I303" s="61"/>
      <c r="K303" s="67"/>
      <c r="L303" s="64"/>
    </row>
    <row r="304" spans="1:12" ht="18.5" customHeight="1" x14ac:dyDescent="0.2">
      <c r="A304" s="60"/>
      <c r="B304" s="61"/>
      <c r="C304" s="140"/>
      <c r="D304" s="63"/>
      <c r="E304" s="63"/>
      <c r="F304" s="64"/>
      <c r="G304" s="65"/>
      <c r="H304" s="65"/>
      <c r="I304" s="61"/>
      <c r="J304" s="61"/>
      <c r="K304" s="67"/>
      <c r="L304" s="64"/>
    </row>
    <row r="305" spans="1:12" ht="18.5" customHeight="1" x14ac:dyDescent="0.2">
      <c r="A305" s="60"/>
      <c r="B305" s="61"/>
      <c r="C305" s="140"/>
      <c r="D305" s="63"/>
      <c r="E305" s="63"/>
      <c r="F305" s="64"/>
      <c r="G305" s="65"/>
      <c r="H305" s="65"/>
      <c r="I305" s="61"/>
      <c r="J305" s="61"/>
      <c r="K305" s="67"/>
      <c r="L305" s="64"/>
    </row>
    <row r="306" spans="1:12" ht="18.5" customHeight="1" x14ac:dyDescent="0.2">
      <c r="A306" s="60"/>
      <c r="B306" s="61"/>
      <c r="C306" s="139"/>
      <c r="D306" s="63"/>
      <c r="E306" s="63"/>
      <c r="F306" s="64"/>
      <c r="G306" s="65"/>
      <c r="H306" s="65"/>
      <c r="I306" s="61"/>
      <c r="J306" s="61"/>
      <c r="K306" s="67"/>
      <c r="L306" s="64"/>
    </row>
    <row r="307" spans="1:12" ht="18.5" customHeight="1" x14ac:dyDescent="0.2">
      <c r="A307" s="60"/>
      <c r="B307" s="61"/>
      <c r="C307" s="139"/>
      <c r="D307" s="63"/>
      <c r="E307" s="63"/>
      <c r="F307" s="64"/>
      <c r="G307" s="65"/>
      <c r="H307" s="65"/>
      <c r="I307" s="61"/>
      <c r="J307" s="61"/>
      <c r="K307" s="67"/>
      <c r="L307" s="64"/>
    </row>
    <row r="308" spans="1:12" ht="18.5" customHeight="1" x14ac:dyDescent="0.2">
      <c r="A308" s="60"/>
      <c r="B308" s="61"/>
      <c r="C308" s="139"/>
      <c r="D308" s="63"/>
      <c r="E308" s="63"/>
      <c r="F308" s="64"/>
      <c r="G308" s="65"/>
      <c r="H308" s="65"/>
      <c r="I308" s="61"/>
      <c r="J308" s="61"/>
      <c r="K308" s="67"/>
      <c r="L308" s="64"/>
    </row>
    <row r="309" spans="1:12" ht="18.5" customHeight="1" x14ac:dyDescent="0.2">
      <c r="A309" s="60"/>
      <c r="B309" s="61"/>
      <c r="C309" s="139"/>
      <c r="D309" s="63"/>
      <c r="E309" s="63"/>
      <c r="F309" s="64"/>
      <c r="G309" s="65"/>
      <c r="H309" s="65"/>
      <c r="I309" s="61"/>
      <c r="J309" s="61"/>
      <c r="K309" s="67"/>
      <c r="L309" s="64"/>
    </row>
    <row r="310" spans="1:12" ht="18.5" customHeight="1" x14ac:dyDescent="0.2">
      <c r="A310" s="60"/>
      <c r="B310" s="61"/>
      <c r="C310" s="139"/>
      <c r="D310" s="63"/>
      <c r="E310" s="63"/>
      <c r="F310" s="64"/>
      <c r="G310" s="65"/>
      <c r="H310" s="65"/>
      <c r="I310" s="61"/>
      <c r="J310" s="61"/>
      <c r="K310" s="67"/>
      <c r="L310" s="64"/>
    </row>
    <row r="311" spans="1:12" ht="18.5" customHeight="1" x14ac:dyDescent="0.2">
      <c r="A311" s="60"/>
      <c r="B311" s="61"/>
      <c r="C311" s="139"/>
      <c r="D311" s="63"/>
      <c r="E311" s="63"/>
      <c r="F311" s="64"/>
      <c r="G311" s="65"/>
      <c r="H311" s="65"/>
      <c r="I311" s="66"/>
      <c r="J311" s="61"/>
      <c r="K311" s="67"/>
      <c r="L311" s="64"/>
    </row>
    <row r="312" spans="1:12" ht="18.5" customHeight="1" x14ac:dyDescent="0.2">
      <c r="A312" s="60"/>
      <c r="B312" s="61"/>
      <c r="C312" s="139"/>
      <c r="D312" s="63"/>
      <c r="E312" s="63"/>
      <c r="F312" s="64"/>
      <c r="G312" s="65"/>
      <c r="H312" s="65"/>
      <c r="I312" s="66"/>
      <c r="J312" s="61"/>
      <c r="K312" s="67"/>
      <c r="L312" s="64"/>
    </row>
    <row r="313" spans="1:12" ht="18.5" customHeight="1" x14ac:dyDescent="0.2">
      <c r="A313" s="60"/>
      <c r="B313" s="61"/>
      <c r="C313" s="139"/>
      <c r="D313" s="63"/>
      <c r="E313" s="63"/>
      <c r="F313" s="64"/>
      <c r="G313" s="65"/>
      <c r="H313" s="65"/>
      <c r="I313" s="66"/>
      <c r="J313" s="61"/>
      <c r="K313" s="67"/>
      <c r="L313" s="64"/>
    </row>
    <row r="314" spans="1:12" ht="18.5" customHeight="1" x14ac:dyDescent="0.2">
      <c r="A314" s="60"/>
      <c r="B314" s="61"/>
      <c r="C314" s="139"/>
      <c r="D314" s="63"/>
      <c r="E314" s="63"/>
      <c r="F314" s="64"/>
      <c r="G314" s="65"/>
      <c r="H314" s="65"/>
      <c r="I314" s="61"/>
      <c r="J314" s="61"/>
      <c r="K314" s="67"/>
      <c r="L314" s="64"/>
    </row>
    <row r="315" spans="1:12" ht="18.5" customHeight="1" x14ac:dyDescent="0.2">
      <c r="A315" s="60"/>
      <c r="B315" s="61"/>
      <c r="C315" s="139"/>
      <c r="D315" s="63"/>
      <c r="E315" s="63"/>
      <c r="F315" s="64"/>
      <c r="G315" s="65"/>
      <c r="H315" s="65"/>
      <c r="I315" s="61"/>
      <c r="J315" s="61"/>
      <c r="K315" s="67"/>
      <c r="L315" s="64"/>
    </row>
    <row r="316" spans="1:12" ht="18.5" customHeight="1" x14ac:dyDescent="0.2">
      <c r="A316" s="60"/>
      <c r="B316" s="61"/>
      <c r="C316" s="139"/>
      <c r="D316" s="63"/>
      <c r="E316" s="63"/>
      <c r="F316" s="64"/>
      <c r="G316" s="65"/>
      <c r="H316" s="65"/>
      <c r="I316" s="61"/>
      <c r="J316" s="61"/>
      <c r="K316" s="67"/>
      <c r="L316" s="64"/>
    </row>
    <row r="317" spans="1:12" ht="18.5" customHeight="1" x14ac:dyDescent="0.2">
      <c r="A317" s="60"/>
      <c r="B317" s="61"/>
      <c r="C317" s="139"/>
      <c r="D317" s="63"/>
      <c r="E317" s="63"/>
      <c r="F317" s="64"/>
      <c r="G317" s="65"/>
      <c r="H317" s="65"/>
      <c r="I317" s="61"/>
      <c r="J317" s="61"/>
      <c r="K317" s="67"/>
      <c r="L317" s="64"/>
    </row>
    <row r="318" spans="1:12" ht="18.5" customHeight="1" x14ac:dyDescent="0.2">
      <c r="A318" s="60"/>
      <c r="B318" s="61"/>
      <c r="C318" s="139"/>
      <c r="D318" s="63"/>
      <c r="E318" s="63"/>
      <c r="F318" s="64"/>
      <c r="G318" s="65"/>
      <c r="H318" s="65"/>
      <c r="I318" s="61"/>
      <c r="J318" s="61"/>
      <c r="K318" s="67"/>
      <c r="L318" s="64"/>
    </row>
    <row r="319" spans="1:12" ht="18.5" customHeight="1" x14ac:dyDescent="0.2">
      <c r="A319" s="60"/>
      <c r="B319" s="61"/>
      <c r="C319" s="139"/>
      <c r="D319" s="63"/>
      <c r="E319" s="63"/>
      <c r="F319" s="64"/>
      <c r="G319" s="65"/>
      <c r="H319" s="65"/>
      <c r="I319" s="61"/>
      <c r="J319" s="61"/>
      <c r="K319" s="67"/>
      <c r="L319" s="64"/>
    </row>
    <row r="320" spans="1:12" ht="18.5" customHeight="1" x14ac:dyDescent="0.2">
      <c r="A320" s="60"/>
      <c r="B320" s="61"/>
      <c r="C320" s="139"/>
      <c r="D320" s="63"/>
      <c r="E320" s="63"/>
      <c r="F320" s="64"/>
      <c r="G320" s="65"/>
      <c r="H320" s="65"/>
      <c r="I320" s="61"/>
      <c r="J320" s="61"/>
      <c r="K320" s="67"/>
      <c r="L320" s="64"/>
    </row>
    <row r="321" spans="1:12" ht="18.5" customHeight="1" x14ac:dyDescent="0.2">
      <c r="A321" s="60"/>
      <c r="B321" s="61"/>
      <c r="C321" s="139"/>
      <c r="D321" s="63"/>
      <c r="E321" s="63"/>
      <c r="F321" s="64"/>
      <c r="G321" s="65"/>
      <c r="H321" s="65"/>
      <c r="I321" s="61"/>
      <c r="J321" s="61"/>
      <c r="K321" s="67"/>
      <c r="L321" s="64"/>
    </row>
    <row r="322" spans="1:12" ht="18.5" customHeight="1" x14ac:dyDescent="0.2">
      <c r="A322" s="60"/>
      <c r="B322" s="61"/>
      <c r="C322" s="139"/>
      <c r="D322" s="63"/>
      <c r="E322" s="63"/>
      <c r="F322" s="64"/>
      <c r="G322" s="65"/>
      <c r="H322" s="65"/>
      <c r="I322" s="61"/>
      <c r="J322" s="61"/>
      <c r="K322" s="67"/>
      <c r="L322" s="64"/>
    </row>
    <row r="323" spans="1:12" ht="18.5" customHeight="1" x14ac:dyDescent="0.2">
      <c r="A323" s="60"/>
      <c r="B323" s="61"/>
      <c r="C323" s="139"/>
      <c r="D323" s="63"/>
      <c r="E323" s="63"/>
      <c r="F323" s="64"/>
      <c r="G323" s="65"/>
      <c r="H323" s="65"/>
      <c r="I323" s="61"/>
      <c r="J323" s="61"/>
      <c r="K323" s="67"/>
      <c r="L323" s="64"/>
    </row>
    <row r="324" spans="1:12" ht="18.5" customHeight="1" x14ac:dyDescent="0.2">
      <c r="A324" s="60"/>
      <c r="B324" s="61"/>
      <c r="C324" s="140"/>
      <c r="D324" s="63"/>
      <c r="E324" s="63"/>
      <c r="F324" s="64"/>
      <c r="G324" s="65"/>
      <c r="H324" s="65"/>
      <c r="I324" s="61"/>
      <c r="J324" s="61"/>
      <c r="K324" s="67"/>
      <c r="L324" s="64"/>
    </row>
    <row r="325" spans="1:12" ht="18.5" customHeight="1" x14ac:dyDescent="0.2">
      <c r="A325" s="60"/>
      <c r="B325" s="61"/>
      <c r="C325" s="139"/>
      <c r="D325" s="63"/>
      <c r="E325" s="63"/>
      <c r="F325" s="64"/>
      <c r="G325" s="65"/>
      <c r="H325" s="65"/>
      <c r="I325" s="61"/>
      <c r="J325" s="61"/>
      <c r="K325" s="67"/>
      <c r="L325" s="64"/>
    </row>
    <row r="326" spans="1:12" ht="18.5" customHeight="1" x14ac:dyDescent="0.2">
      <c r="A326" s="60"/>
      <c r="B326" s="61"/>
      <c r="C326" s="139"/>
      <c r="D326" s="63"/>
      <c r="E326" s="63"/>
      <c r="F326" s="64"/>
      <c r="G326" s="65"/>
      <c r="H326" s="65"/>
      <c r="I326" s="61"/>
      <c r="J326" s="61"/>
      <c r="K326" s="67"/>
      <c r="L326" s="64"/>
    </row>
    <row r="327" spans="1:12" ht="18.5" customHeight="1" x14ac:dyDescent="0.2">
      <c r="A327" s="60"/>
      <c r="B327" s="61"/>
      <c r="C327" s="139"/>
      <c r="D327" s="63"/>
      <c r="E327" s="63"/>
      <c r="F327" s="64"/>
      <c r="G327" s="65"/>
      <c r="H327" s="65"/>
      <c r="I327" s="61"/>
      <c r="J327" s="61"/>
      <c r="K327" s="67"/>
      <c r="L327" s="64"/>
    </row>
    <row r="328" spans="1:12" ht="18.5" customHeight="1" x14ac:dyDescent="0.2">
      <c r="A328" s="60"/>
      <c r="B328" s="61"/>
      <c r="C328" s="139"/>
      <c r="D328" s="63"/>
      <c r="E328" s="63"/>
      <c r="F328" s="64"/>
      <c r="G328" s="65"/>
      <c r="H328" s="65"/>
      <c r="I328" s="61"/>
      <c r="J328" s="61"/>
      <c r="K328" s="67"/>
      <c r="L328" s="64"/>
    </row>
    <row r="329" spans="1:12" ht="18.5" customHeight="1" x14ac:dyDescent="0.2">
      <c r="A329" s="60"/>
      <c r="B329" s="61"/>
      <c r="C329" s="139"/>
      <c r="D329" s="63"/>
      <c r="E329" s="63"/>
      <c r="F329" s="64"/>
      <c r="G329" s="65"/>
      <c r="H329" s="65"/>
      <c r="I329" s="61"/>
      <c r="J329" s="61"/>
      <c r="K329" s="67"/>
      <c r="L329" s="64"/>
    </row>
    <row r="330" spans="1:12" ht="18.5" customHeight="1" x14ac:dyDescent="0.2">
      <c r="A330" s="60"/>
      <c r="B330" s="61"/>
      <c r="C330" s="139"/>
      <c r="D330" s="63"/>
      <c r="E330" s="63"/>
      <c r="F330" s="64"/>
      <c r="G330" s="65"/>
      <c r="H330" s="65"/>
      <c r="I330" s="61"/>
      <c r="J330" s="61"/>
      <c r="K330" s="67"/>
      <c r="L330" s="64"/>
    </row>
    <row r="331" spans="1:12" ht="18.5" customHeight="1" x14ac:dyDescent="0.2">
      <c r="A331" s="60"/>
      <c r="B331" s="61"/>
      <c r="C331" s="139"/>
      <c r="D331" s="63"/>
      <c r="E331" s="63"/>
      <c r="F331" s="64"/>
      <c r="G331" s="65"/>
      <c r="H331" s="65"/>
      <c r="I331" s="61"/>
      <c r="J331" s="61"/>
      <c r="K331" s="67"/>
      <c r="L331" s="64"/>
    </row>
    <row r="332" spans="1:12" ht="18.5" customHeight="1" x14ac:dyDescent="0.2">
      <c r="A332" s="60"/>
      <c r="B332" s="61"/>
      <c r="C332" s="139"/>
      <c r="D332" s="63"/>
      <c r="E332" s="63"/>
      <c r="F332" s="64"/>
      <c r="G332" s="65"/>
      <c r="H332" s="65"/>
      <c r="I332" s="61"/>
      <c r="J332" s="61"/>
      <c r="K332" s="67"/>
      <c r="L332" s="64"/>
    </row>
    <row r="333" spans="1:12" ht="18.5" customHeight="1" x14ac:dyDescent="0.2">
      <c r="A333" s="60"/>
      <c r="B333" s="61"/>
      <c r="C333" s="139"/>
      <c r="D333" s="63"/>
      <c r="E333" s="63"/>
      <c r="F333" s="64"/>
      <c r="G333" s="65"/>
      <c r="H333" s="65"/>
      <c r="I333" s="61"/>
      <c r="J333" s="61"/>
      <c r="K333" s="67"/>
      <c r="L333" s="64"/>
    </row>
    <row r="334" spans="1:12" ht="18.5" customHeight="1" x14ac:dyDescent="0.2">
      <c r="A334" s="60"/>
      <c r="B334" s="61"/>
      <c r="C334" s="139"/>
      <c r="D334" s="63"/>
      <c r="E334" s="63"/>
      <c r="F334" s="64"/>
      <c r="G334" s="65"/>
      <c r="H334" s="65"/>
      <c r="I334" s="61"/>
      <c r="J334" s="61"/>
      <c r="K334" s="67"/>
      <c r="L334" s="64"/>
    </row>
    <row r="335" spans="1:12" ht="18.5" customHeight="1" x14ac:dyDescent="0.2">
      <c r="A335" s="60"/>
      <c r="B335" s="61"/>
      <c r="C335" s="139"/>
      <c r="D335" s="63"/>
      <c r="E335" s="63"/>
      <c r="F335" s="64"/>
      <c r="G335" s="65"/>
      <c r="H335" s="65"/>
      <c r="I335" s="61"/>
      <c r="J335" s="61"/>
      <c r="K335" s="67"/>
      <c r="L335" s="64"/>
    </row>
    <row r="336" spans="1:12" ht="18.5" customHeight="1" x14ac:dyDescent="0.2">
      <c r="A336" s="60"/>
      <c r="B336" s="61"/>
      <c r="C336" s="139"/>
      <c r="D336" s="63"/>
      <c r="E336" s="63"/>
      <c r="F336" s="64"/>
      <c r="G336" s="65"/>
      <c r="H336" s="65"/>
      <c r="I336" s="61"/>
      <c r="J336" s="61"/>
      <c r="K336" s="67"/>
      <c r="L336" s="64"/>
    </row>
    <row r="337" spans="1:12" ht="18.5" customHeight="1" x14ac:dyDescent="0.2">
      <c r="A337" s="60"/>
      <c r="B337" s="61"/>
      <c r="C337" s="139"/>
      <c r="D337" s="63"/>
      <c r="E337" s="63"/>
      <c r="F337" s="64"/>
      <c r="G337" s="65"/>
      <c r="H337" s="65"/>
      <c r="I337" s="61"/>
      <c r="J337" s="61"/>
      <c r="K337" s="67"/>
      <c r="L337" s="64"/>
    </row>
    <row r="338" spans="1:12" ht="18.5" customHeight="1" x14ac:dyDescent="0.2">
      <c r="A338" s="60"/>
      <c r="B338" s="61"/>
      <c r="C338" s="139"/>
      <c r="D338" s="63"/>
      <c r="E338" s="63"/>
      <c r="F338" s="64"/>
      <c r="G338" s="65"/>
      <c r="H338" s="65"/>
      <c r="I338" s="61"/>
      <c r="J338" s="61"/>
      <c r="K338" s="67"/>
      <c r="L338" s="64"/>
    </row>
    <row r="339" spans="1:12" ht="18.5" customHeight="1" x14ac:dyDescent="0.2">
      <c r="A339" s="60"/>
      <c r="B339" s="61"/>
      <c r="C339" s="139"/>
      <c r="D339" s="63"/>
      <c r="E339" s="63"/>
      <c r="F339" s="64"/>
      <c r="G339" s="65"/>
      <c r="H339" s="65"/>
      <c r="I339" s="61"/>
      <c r="J339" s="61"/>
      <c r="K339" s="67"/>
      <c r="L339" s="64"/>
    </row>
    <row r="340" spans="1:12" ht="18.5" customHeight="1" x14ac:dyDescent="0.2">
      <c r="A340" s="60"/>
      <c r="B340" s="61"/>
      <c r="C340" s="140"/>
      <c r="D340" s="63"/>
      <c r="E340" s="63"/>
      <c r="F340" s="64"/>
      <c r="G340" s="65"/>
      <c r="H340" s="65"/>
      <c r="I340" s="61"/>
      <c r="J340" s="61"/>
      <c r="K340" s="67"/>
      <c r="L340" s="64"/>
    </row>
    <row r="341" spans="1:12" ht="18.5" customHeight="1" x14ac:dyDescent="0.2">
      <c r="A341" s="60"/>
      <c r="B341" s="61"/>
      <c r="C341" s="139"/>
      <c r="D341" s="63"/>
      <c r="E341" s="63"/>
      <c r="F341" s="64"/>
      <c r="G341" s="65"/>
      <c r="H341" s="65"/>
      <c r="I341" s="61"/>
      <c r="J341" s="61"/>
      <c r="K341" s="67"/>
      <c r="L341" s="64"/>
    </row>
    <row r="342" spans="1:12" ht="18.5" customHeight="1" x14ac:dyDescent="0.2">
      <c r="A342" s="60"/>
      <c r="B342" s="61"/>
      <c r="C342" s="139"/>
      <c r="D342" s="63"/>
      <c r="E342" s="63"/>
      <c r="F342" s="64"/>
      <c r="G342" s="65"/>
      <c r="H342" s="65"/>
      <c r="I342" s="61"/>
      <c r="J342" s="61"/>
      <c r="K342" s="67"/>
      <c r="L342" s="64"/>
    </row>
    <row r="343" spans="1:12" ht="18.5" customHeight="1" x14ac:dyDescent="0.2">
      <c r="A343" s="60"/>
      <c r="B343" s="61"/>
      <c r="C343" s="139"/>
      <c r="D343" s="63"/>
      <c r="E343" s="63"/>
      <c r="F343" s="64"/>
      <c r="G343" s="65"/>
      <c r="H343" s="65"/>
      <c r="I343" s="61"/>
      <c r="J343" s="61"/>
      <c r="K343" s="67"/>
      <c r="L343" s="64"/>
    </row>
    <row r="344" spans="1:12" ht="18.5" customHeight="1" x14ac:dyDescent="0.2">
      <c r="A344" s="60"/>
      <c r="B344" s="61"/>
      <c r="C344" s="139"/>
      <c r="D344" s="63"/>
      <c r="E344" s="63"/>
      <c r="F344" s="64"/>
      <c r="G344" s="65"/>
      <c r="H344" s="65"/>
      <c r="I344" s="61"/>
      <c r="J344" s="61"/>
      <c r="K344" s="67"/>
      <c r="L344" s="64"/>
    </row>
    <row r="345" spans="1:12" ht="18.5" customHeight="1" x14ac:dyDescent="0.2">
      <c r="A345" s="60"/>
      <c r="B345" s="61"/>
      <c r="C345" s="139"/>
      <c r="D345" s="63"/>
      <c r="E345" s="63"/>
      <c r="F345" s="64"/>
      <c r="G345" s="65"/>
      <c r="H345" s="65"/>
      <c r="I345" s="61"/>
      <c r="J345" s="61"/>
      <c r="K345" s="67"/>
      <c r="L345" s="64"/>
    </row>
    <row r="346" spans="1:12" ht="18.5" customHeight="1" x14ac:dyDescent="0.2">
      <c r="A346" s="60"/>
      <c r="B346" s="61"/>
      <c r="C346" s="139"/>
      <c r="D346" s="63"/>
      <c r="E346" s="63"/>
      <c r="F346" s="64"/>
      <c r="G346" s="65"/>
      <c r="H346" s="65"/>
      <c r="I346" s="61"/>
      <c r="J346" s="61"/>
      <c r="K346" s="67"/>
      <c r="L346" s="64"/>
    </row>
    <row r="347" spans="1:12" ht="18.5" customHeight="1" x14ac:dyDescent="0.2">
      <c r="A347" s="60"/>
      <c r="B347" s="61"/>
      <c r="C347" s="139"/>
      <c r="D347" s="63"/>
      <c r="E347" s="63"/>
      <c r="F347" s="64"/>
      <c r="G347" s="65"/>
      <c r="H347" s="65"/>
      <c r="I347" s="61"/>
      <c r="J347" s="61"/>
      <c r="K347" s="67"/>
      <c r="L347" s="64"/>
    </row>
    <row r="348" spans="1:12" ht="18.5" customHeight="1" x14ac:dyDescent="0.2">
      <c r="A348" s="60"/>
      <c r="B348" s="61"/>
      <c r="C348" s="139"/>
      <c r="D348" s="63"/>
      <c r="E348" s="63"/>
      <c r="F348" s="64"/>
      <c r="G348" s="65"/>
      <c r="H348" s="65"/>
      <c r="I348" s="61"/>
      <c r="J348" s="61"/>
      <c r="K348" s="67"/>
      <c r="L348" s="64"/>
    </row>
    <row r="349" spans="1:12" ht="18.5" customHeight="1" x14ac:dyDescent="0.2">
      <c r="A349" s="60"/>
      <c r="B349" s="61"/>
      <c r="C349" s="139"/>
      <c r="D349" s="63"/>
      <c r="E349" s="63"/>
      <c r="F349" s="64"/>
      <c r="G349" s="65"/>
      <c r="H349" s="65"/>
      <c r="I349" s="61"/>
      <c r="J349" s="61"/>
      <c r="K349" s="67"/>
      <c r="L349" s="64"/>
    </row>
    <row r="350" spans="1:12" ht="18.5" customHeight="1" x14ac:dyDescent="0.2">
      <c r="A350" s="60"/>
      <c r="B350" s="61"/>
      <c r="C350" s="140"/>
      <c r="D350" s="63"/>
      <c r="E350" s="63"/>
      <c r="F350" s="64"/>
      <c r="G350" s="65"/>
      <c r="H350" s="65"/>
      <c r="I350" s="61"/>
      <c r="J350" s="61"/>
      <c r="K350" s="67"/>
      <c r="L350" s="64"/>
    </row>
    <row r="351" spans="1:12" ht="18.5" customHeight="1" x14ac:dyDescent="0.2">
      <c r="A351" s="60"/>
      <c r="B351" s="61"/>
      <c r="C351" s="139"/>
      <c r="D351" s="63"/>
      <c r="E351" s="63"/>
      <c r="F351" s="64"/>
      <c r="G351" s="65"/>
      <c r="H351" s="65"/>
      <c r="I351" s="61"/>
      <c r="J351" s="61"/>
      <c r="K351" s="67"/>
      <c r="L351" s="64"/>
    </row>
    <row r="352" spans="1:12" ht="18.5" customHeight="1" x14ac:dyDescent="0.2">
      <c r="A352" s="60"/>
      <c r="B352" s="61"/>
      <c r="C352" s="139"/>
      <c r="D352" s="63"/>
      <c r="E352" s="63"/>
      <c r="F352" s="64"/>
      <c r="G352" s="65"/>
      <c r="H352" s="65"/>
      <c r="I352" s="61"/>
      <c r="J352" s="61"/>
      <c r="K352" s="67"/>
      <c r="L352" s="64"/>
    </row>
    <row r="353" spans="1:12" ht="18.5" customHeight="1" x14ac:dyDescent="0.2">
      <c r="A353" s="60"/>
      <c r="B353" s="61"/>
      <c r="C353" s="139"/>
      <c r="D353" s="63"/>
      <c r="E353" s="63"/>
      <c r="F353" s="64"/>
      <c r="G353" s="65"/>
      <c r="H353" s="65"/>
      <c r="I353" s="61"/>
      <c r="J353" s="61"/>
      <c r="K353" s="67"/>
      <c r="L353" s="64"/>
    </row>
    <row r="354" spans="1:12" ht="18.5" customHeight="1" x14ac:dyDescent="0.2">
      <c r="A354" s="60"/>
      <c r="B354" s="61"/>
      <c r="C354" s="139"/>
      <c r="D354" s="63"/>
      <c r="E354" s="63"/>
      <c r="F354" s="64"/>
      <c r="G354" s="65"/>
      <c r="H354" s="65"/>
      <c r="I354" s="61"/>
      <c r="J354" s="61"/>
      <c r="K354" s="67"/>
      <c r="L354" s="64"/>
    </row>
    <row r="355" spans="1:12" ht="18.5" customHeight="1" x14ac:dyDescent="0.2">
      <c r="A355" s="60"/>
      <c r="B355" s="61"/>
      <c r="C355" s="139"/>
      <c r="D355" s="63"/>
      <c r="E355" s="63"/>
      <c r="F355" s="64"/>
      <c r="G355" s="65"/>
      <c r="H355" s="65"/>
      <c r="I355" s="61"/>
      <c r="J355" s="61"/>
      <c r="K355" s="67"/>
      <c r="L355" s="64"/>
    </row>
    <row r="356" spans="1:12" ht="18.5" customHeight="1" x14ac:dyDescent="0.2">
      <c r="A356" s="60"/>
      <c r="B356" s="61"/>
      <c r="C356" s="139"/>
      <c r="D356" s="63"/>
      <c r="E356" s="63"/>
      <c r="F356" s="64"/>
      <c r="G356" s="65"/>
      <c r="H356" s="65"/>
      <c r="I356" s="61"/>
      <c r="J356" s="61"/>
      <c r="K356" s="67"/>
      <c r="L356" s="64"/>
    </row>
    <row r="357" spans="1:12" ht="18.5" customHeight="1" x14ac:dyDescent="0.2">
      <c r="A357" s="60"/>
      <c r="B357" s="61"/>
      <c r="C357" s="139"/>
      <c r="D357" s="63"/>
      <c r="E357" s="63"/>
      <c r="F357" s="64"/>
      <c r="G357" s="65"/>
      <c r="H357" s="65"/>
      <c r="I357" s="61"/>
      <c r="J357" s="61"/>
      <c r="K357" s="67"/>
      <c r="L357" s="64"/>
    </row>
    <row r="358" spans="1:12" ht="18.5" customHeight="1" x14ac:dyDescent="0.2">
      <c r="A358" s="60"/>
      <c r="B358" s="61"/>
      <c r="C358" s="140"/>
      <c r="D358" s="63"/>
      <c r="E358" s="63"/>
      <c r="F358" s="64"/>
      <c r="G358" s="65"/>
      <c r="H358" s="65"/>
      <c r="I358" s="61"/>
      <c r="J358" s="61"/>
      <c r="K358" s="67"/>
      <c r="L358" s="64"/>
    </row>
    <row r="359" spans="1:12" ht="18.5" customHeight="1" x14ac:dyDescent="0.2">
      <c r="A359" s="60"/>
      <c r="B359" s="61"/>
      <c r="C359" s="139"/>
      <c r="D359" s="63"/>
      <c r="E359" s="63"/>
      <c r="F359" s="64"/>
      <c r="G359" s="65"/>
      <c r="H359" s="65"/>
      <c r="I359" s="61"/>
      <c r="J359" s="61"/>
      <c r="K359" s="67"/>
      <c r="L359" s="64"/>
    </row>
    <row r="360" spans="1:12" ht="18.5" customHeight="1" x14ac:dyDescent="0.2">
      <c r="A360" s="60"/>
      <c r="B360" s="61"/>
      <c r="C360" s="139"/>
      <c r="D360" s="63"/>
      <c r="E360" s="63"/>
      <c r="F360" s="64"/>
      <c r="G360" s="65"/>
      <c r="H360" s="65"/>
      <c r="I360" s="61"/>
      <c r="J360" s="61"/>
      <c r="K360" s="67"/>
      <c r="L360" s="64"/>
    </row>
    <row r="361" spans="1:12" ht="18.5" customHeight="1" x14ac:dyDescent="0.2">
      <c r="A361" s="60"/>
      <c r="B361" s="61"/>
      <c r="C361" s="139"/>
      <c r="D361" s="63"/>
      <c r="E361" s="63"/>
      <c r="F361" s="64"/>
      <c r="G361" s="65"/>
      <c r="H361" s="65"/>
      <c r="I361" s="61"/>
      <c r="J361" s="61"/>
      <c r="K361" s="67"/>
      <c r="L361" s="64"/>
    </row>
    <row r="362" spans="1:12" ht="18.5" customHeight="1" x14ac:dyDescent="0.2">
      <c r="A362" s="60"/>
      <c r="B362" s="61"/>
      <c r="C362" s="140"/>
      <c r="D362" s="63"/>
      <c r="E362" s="63"/>
      <c r="F362" s="64"/>
      <c r="G362" s="65"/>
      <c r="H362" s="65"/>
      <c r="I362" s="61"/>
      <c r="J362" s="61"/>
      <c r="K362" s="67"/>
      <c r="L362" s="64"/>
    </row>
    <row r="363" spans="1:12" ht="18.5" customHeight="1" x14ac:dyDescent="0.2">
      <c r="A363" s="60"/>
      <c r="B363" s="61"/>
      <c r="C363" s="139"/>
      <c r="D363" s="63"/>
      <c r="E363" s="63"/>
      <c r="F363" s="64"/>
      <c r="G363" s="65"/>
      <c r="H363" s="65"/>
      <c r="I363" s="61"/>
      <c r="J363" s="61"/>
      <c r="K363" s="67"/>
      <c r="L363" s="64"/>
    </row>
    <row r="364" spans="1:12" ht="18.5" customHeight="1" x14ac:dyDescent="0.2">
      <c r="A364" s="60"/>
      <c r="B364" s="61"/>
      <c r="C364" s="140"/>
      <c r="D364" s="63"/>
      <c r="E364" s="63"/>
      <c r="F364" s="64"/>
      <c r="G364" s="65"/>
      <c r="H364" s="65"/>
      <c r="I364" s="61"/>
      <c r="J364" s="61"/>
      <c r="K364" s="67"/>
      <c r="L364" s="64"/>
    </row>
    <row r="365" spans="1:12" ht="18.5" customHeight="1" x14ac:dyDescent="0.2">
      <c r="A365" s="60"/>
      <c r="B365" s="61"/>
      <c r="C365" s="140"/>
      <c r="D365" s="63"/>
      <c r="E365" s="63"/>
      <c r="F365" s="64"/>
      <c r="G365" s="65"/>
      <c r="H365" s="65"/>
      <c r="I365" s="61"/>
      <c r="J365" s="61"/>
      <c r="K365" s="67"/>
      <c r="L365" s="64"/>
    </row>
    <row r="366" spans="1:12" ht="18.5" customHeight="1" x14ac:dyDescent="0.2">
      <c r="A366" s="60"/>
      <c r="B366" s="61"/>
      <c r="C366" s="140"/>
      <c r="D366" s="63"/>
      <c r="E366" s="63"/>
      <c r="F366" s="64"/>
      <c r="G366" s="65"/>
      <c r="H366" s="65"/>
      <c r="I366" s="61"/>
      <c r="J366" s="61"/>
      <c r="K366" s="67"/>
      <c r="L366" s="64"/>
    </row>
    <row r="367" spans="1:12" ht="18.5" customHeight="1" x14ac:dyDescent="0.2">
      <c r="A367" s="60"/>
      <c r="B367" s="61"/>
      <c r="C367" s="139"/>
      <c r="D367" s="63"/>
      <c r="E367" s="63"/>
      <c r="F367" s="64"/>
      <c r="G367" s="65"/>
      <c r="H367" s="65"/>
      <c r="I367" s="61"/>
      <c r="J367" s="61"/>
      <c r="K367" s="67"/>
      <c r="L367" s="64"/>
    </row>
    <row r="368" spans="1:12" ht="18.5" customHeight="1" x14ac:dyDescent="0.2">
      <c r="A368" s="60"/>
      <c r="B368" s="61"/>
      <c r="C368" s="139"/>
      <c r="D368" s="63"/>
      <c r="E368" s="63"/>
      <c r="F368" s="64"/>
      <c r="G368" s="65"/>
      <c r="H368" s="65"/>
      <c r="I368" s="61"/>
      <c r="J368" s="61"/>
      <c r="K368" s="61"/>
      <c r="L368" s="64"/>
    </row>
    <row r="369" spans="1:12" ht="18.5" customHeight="1" x14ac:dyDescent="0.2">
      <c r="A369" s="60"/>
      <c r="B369" s="61"/>
      <c r="C369" s="139"/>
      <c r="D369" s="63"/>
      <c r="E369" s="63"/>
      <c r="F369" s="64"/>
      <c r="G369" s="65"/>
      <c r="H369" s="65"/>
      <c r="I369" s="66"/>
      <c r="J369" s="61"/>
      <c r="K369" s="67"/>
      <c r="L369" s="64"/>
    </row>
    <row r="370" spans="1:12" ht="18.5" customHeight="1" x14ac:dyDescent="0.2">
      <c r="A370" s="60"/>
      <c r="B370" s="61"/>
      <c r="C370" s="139"/>
      <c r="D370" s="63"/>
      <c r="E370" s="63"/>
      <c r="F370" s="64"/>
      <c r="G370" s="65"/>
      <c r="H370" s="65"/>
      <c r="I370" s="66"/>
      <c r="J370" s="61"/>
      <c r="K370" s="67"/>
      <c r="L370" s="64"/>
    </row>
    <row r="371" spans="1:12" ht="18.5" customHeight="1" x14ac:dyDescent="0.2">
      <c r="A371" s="60"/>
      <c r="B371" s="61"/>
      <c r="C371" s="139"/>
      <c r="D371" s="63"/>
      <c r="E371" s="63"/>
      <c r="F371" s="64"/>
      <c r="G371" s="65"/>
      <c r="H371" s="65"/>
      <c r="I371" s="66"/>
      <c r="J371" s="61"/>
      <c r="K371" s="67"/>
      <c r="L371" s="64"/>
    </row>
    <row r="372" spans="1:12" ht="18.5" customHeight="1" x14ac:dyDescent="0.2">
      <c r="A372" s="60"/>
      <c r="B372" s="61"/>
      <c r="C372" s="139"/>
      <c r="D372" s="63"/>
      <c r="E372" s="63"/>
      <c r="F372" s="64"/>
      <c r="G372" s="65"/>
      <c r="H372" s="65"/>
      <c r="I372" s="61"/>
      <c r="J372" s="61"/>
      <c r="K372" s="67"/>
      <c r="L372" s="64"/>
    </row>
    <row r="373" spans="1:12" ht="18.5" customHeight="1" x14ac:dyDescent="0.2">
      <c r="A373" s="60"/>
      <c r="B373" s="61"/>
      <c r="C373" s="139"/>
      <c r="D373" s="63"/>
      <c r="E373" s="63"/>
      <c r="F373" s="64"/>
      <c r="G373" s="65"/>
      <c r="H373" s="65"/>
      <c r="I373" s="61"/>
      <c r="J373" s="61"/>
      <c r="K373" s="67"/>
      <c r="L373" s="64"/>
    </row>
    <row r="374" spans="1:12" ht="18.5" customHeight="1" x14ac:dyDescent="0.2">
      <c r="A374" s="60"/>
      <c r="B374" s="61"/>
      <c r="C374" s="139"/>
      <c r="D374" s="63"/>
      <c r="E374" s="63"/>
      <c r="F374" s="64"/>
      <c r="G374" s="65"/>
      <c r="H374" s="65"/>
      <c r="I374" s="61"/>
      <c r="J374" s="61"/>
      <c r="K374" s="67"/>
      <c r="L374" s="64"/>
    </row>
    <row r="375" spans="1:12" ht="18.5" customHeight="1" x14ac:dyDescent="0.2">
      <c r="A375" s="60"/>
      <c r="B375" s="61"/>
      <c r="C375" s="139"/>
      <c r="D375" s="63"/>
      <c r="E375" s="63"/>
      <c r="F375" s="64"/>
      <c r="G375" s="65"/>
      <c r="H375" s="65"/>
      <c r="I375" s="61"/>
      <c r="J375" s="61"/>
      <c r="K375" s="67"/>
      <c r="L375" s="64"/>
    </row>
    <row r="376" spans="1:12" ht="18.5" customHeight="1" x14ac:dyDescent="0.2">
      <c r="A376" s="60"/>
      <c r="B376" s="61"/>
      <c r="C376" s="140"/>
      <c r="D376" s="63"/>
      <c r="E376" s="63"/>
      <c r="F376" s="64"/>
      <c r="G376" s="65"/>
      <c r="H376" s="65"/>
      <c r="I376" s="61"/>
      <c r="J376" s="61"/>
      <c r="K376" s="67"/>
      <c r="L376" s="64"/>
    </row>
    <row r="377" spans="1:12" ht="18.5" customHeight="1" x14ac:dyDescent="0.2">
      <c r="A377" s="60"/>
      <c r="B377" s="61"/>
      <c r="C377" s="140"/>
      <c r="D377" s="63"/>
      <c r="E377" s="63"/>
      <c r="F377" s="64"/>
      <c r="G377" s="65"/>
      <c r="H377" s="65"/>
      <c r="I377" s="61"/>
      <c r="J377" s="61"/>
      <c r="K377" s="67"/>
      <c r="L377" s="64"/>
    </row>
    <row r="378" spans="1:12" ht="18.5" customHeight="1" x14ac:dyDescent="0.2">
      <c r="A378" s="60"/>
      <c r="B378" s="61"/>
      <c r="C378" s="139"/>
      <c r="D378" s="63"/>
      <c r="E378" s="63"/>
      <c r="F378" s="64"/>
      <c r="G378" s="65"/>
      <c r="H378" s="65"/>
      <c r="I378" s="61"/>
      <c r="J378" s="61"/>
      <c r="K378" s="67"/>
      <c r="L378" s="64"/>
    </row>
    <row r="379" spans="1:12" ht="18.5" customHeight="1" x14ac:dyDescent="0.2">
      <c r="A379" s="60"/>
      <c r="B379" s="61"/>
      <c r="C379" s="139"/>
      <c r="D379" s="63"/>
      <c r="E379" s="63"/>
      <c r="F379" s="64"/>
      <c r="G379" s="65"/>
      <c r="H379" s="65"/>
      <c r="I379" s="61"/>
      <c r="J379" s="61"/>
      <c r="K379" s="67"/>
      <c r="L379" s="64"/>
    </row>
    <row r="380" spans="1:12" ht="18.5" customHeight="1" x14ac:dyDescent="0.2">
      <c r="A380" s="60"/>
      <c r="B380" s="61"/>
      <c r="C380" s="139"/>
      <c r="D380" s="63"/>
      <c r="E380" s="63"/>
      <c r="F380" s="64"/>
      <c r="G380" s="65"/>
      <c r="H380" s="65"/>
      <c r="I380" s="61"/>
      <c r="J380" s="61"/>
      <c r="K380" s="67"/>
      <c r="L380" s="64"/>
    </row>
    <row r="381" spans="1:12" ht="18.5" customHeight="1" x14ac:dyDescent="0.2">
      <c r="A381" s="60"/>
      <c r="B381" s="61"/>
      <c r="C381" s="139"/>
      <c r="D381" s="63"/>
      <c r="E381" s="63"/>
      <c r="F381" s="64"/>
      <c r="G381" s="65"/>
      <c r="H381" s="65"/>
      <c r="I381" s="61"/>
      <c r="J381" s="61"/>
      <c r="K381" s="67"/>
      <c r="L381" s="64"/>
    </row>
    <row r="382" spans="1:12" ht="18.5" customHeight="1" x14ac:dyDescent="0.2">
      <c r="A382" s="60"/>
      <c r="B382" s="61"/>
      <c r="C382" s="139"/>
      <c r="D382" s="63"/>
      <c r="E382" s="63"/>
      <c r="F382" s="64"/>
      <c r="G382" s="65"/>
      <c r="H382" s="65"/>
      <c r="I382" s="61"/>
      <c r="J382" s="61"/>
      <c r="K382" s="67"/>
      <c r="L382" s="64"/>
    </row>
    <row r="383" spans="1:12" ht="18.5" customHeight="1" x14ac:dyDescent="0.2">
      <c r="A383" s="60"/>
      <c r="B383" s="61"/>
      <c r="C383" s="139"/>
      <c r="D383" s="63"/>
      <c r="E383" s="63"/>
      <c r="F383" s="64"/>
      <c r="G383" s="65"/>
      <c r="H383" s="65"/>
      <c r="I383" s="61"/>
      <c r="J383" s="61"/>
      <c r="K383" s="67"/>
      <c r="L383" s="64"/>
    </row>
    <row r="384" spans="1:12" ht="18.5" customHeight="1" x14ac:dyDescent="0.2">
      <c r="A384" s="60"/>
      <c r="B384" s="61"/>
      <c r="C384" s="139"/>
      <c r="D384" s="63"/>
      <c r="E384" s="63"/>
      <c r="F384" s="64"/>
      <c r="G384" s="65"/>
      <c r="H384" s="65"/>
      <c r="I384" s="61"/>
      <c r="J384" s="61"/>
      <c r="K384" s="67"/>
      <c r="L384" s="64"/>
    </row>
    <row r="385" spans="1:12" ht="18.5" customHeight="1" x14ac:dyDescent="0.2">
      <c r="A385" s="60"/>
      <c r="B385" s="61"/>
      <c r="C385" s="139"/>
      <c r="D385" s="63"/>
      <c r="E385" s="63"/>
      <c r="F385" s="64"/>
      <c r="G385" s="65"/>
      <c r="H385" s="65"/>
      <c r="I385" s="61"/>
      <c r="J385" s="61"/>
      <c r="K385" s="67"/>
      <c r="L385" s="64"/>
    </row>
    <row r="386" spans="1:12" ht="18.5" customHeight="1" x14ac:dyDescent="0.2">
      <c r="A386" s="60"/>
      <c r="B386" s="61"/>
      <c r="C386" s="139"/>
      <c r="D386" s="63"/>
      <c r="E386" s="63"/>
      <c r="F386" s="64"/>
      <c r="G386" s="65"/>
      <c r="H386" s="65"/>
      <c r="I386" s="61"/>
      <c r="J386" s="61"/>
      <c r="K386" s="67"/>
      <c r="L386" s="64"/>
    </row>
    <row r="387" spans="1:12" ht="18.5" customHeight="1" x14ac:dyDescent="0.2">
      <c r="A387" s="60"/>
      <c r="B387" s="61"/>
      <c r="C387" s="139"/>
      <c r="D387" s="63"/>
      <c r="E387" s="63"/>
      <c r="F387" s="64"/>
      <c r="G387" s="65"/>
      <c r="H387" s="65"/>
      <c r="I387" s="61"/>
      <c r="J387" s="61"/>
      <c r="K387" s="67"/>
      <c r="L387" s="64"/>
    </row>
    <row r="388" spans="1:12" ht="18.5" customHeight="1" x14ac:dyDescent="0.2">
      <c r="A388" s="60"/>
      <c r="B388" s="61"/>
      <c r="C388" s="139"/>
      <c r="D388" s="63"/>
      <c r="E388" s="63"/>
      <c r="F388" s="64"/>
      <c r="G388" s="65"/>
      <c r="H388" s="65"/>
      <c r="I388" s="61"/>
      <c r="J388" s="61"/>
      <c r="K388" s="67"/>
      <c r="L388" s="64"/>
    </row>
    <row r="389" spans="1:12" ht="18.5" customHeight="1" x14ac:dyDescent="0.2">
      <c r="A389" s="60"/>
      <c r="B389" s="61"/>
      <c r="C389" s="139"/>
      <c r="D389" s="63"/>
      <c r="E389" s="63"/>
      <c r="F389" s="64"/>
      <c r="G389" s="65"/>
      <c r="H389" s="65"/>
      <c r="I389" s="61"/>
      <c r="J389" s="61"/>
      <c r="K389" s="67"/>
      <c r="L389" s="64"/>
    </row>
    <row r="390" spans="1:12" ht="18.5" customHeight="1" x14ac:dyDescent="0.2">
      <c r="A390" s="60"/>
      <c r="B390" s="61"/>
      <c r="C390" s="139"/>
      <c r="D390" s="63"/>
      <c r="E390" s="63"/>
      <c r="F390" s="64"/>
      <c r="G390" s="65"/>
      <c r="H390" s="65"/>
      <c r="I390" s="61"/>
      <c r="J390" s="61"/>
      <c r="K390" s="67"/>
      <c r="L390" s="64"/>
    </row>
    <row r="391" spans="1:12" ht="18.5" customHeight="1" x14ac:dyDescent="0.2">
      <c r="A391" s="60"/>
      <c r="B391" s="61"/>
      <c r="C391" s="139"/>
      <c r="D391" s="63"/>
      <c r="E391" s="63"/>
      <c r="F391" s="64"/>
      <c r="G391" s="65"/>
      <c r="H391" s="65"/>
      <c r="I391" s="61"/>
      <c r="J391" s="61"/>
      <c r="K391" s="67"/>
      <c r="L391" s="64"/>
    </row>
    <row r="392" spans="1:12" ht="18.5" customHeight="1" x14ac:dyDescent="0.2">
      <c r="A392" s="60"/>
      <c r="B392" s="61"/>
      <c r="C392" s="139"/>
      <c r="D392" s="63"/>
      <c r="E392" s="63"/>
      <c r="F392" s="64"/>
      <c r="G392" s="65"/>
      <c r="H392" s="65"/>
      <c r="I392" s="61"/>
      <c r="J392" s="61"/>
      <c r="K392" s="67"/>
      <c r="L392" s="64"/>
    </row>
    <row r="393" spans="1:12" ht="18.5" customHeight="1" x14ac:dyDescent="0.2">
      <c r="A393" s="60"/>
      <c r="B393" s="61"/>
      <c r="C393" s="139"/>
      <c r="D393" s="63"/>
      <c r="E393" s="63"/>
      <c r="F393" s="64"/>
      <c r="G393" s="65"/>
      <c r="H393" s="65"/>
      <c r="I393" s="61"/>
      <c r="J393" s="61"/>
      <c r="K393" s="67"/>
      <c r="L393" s="64"/>
    </row>
    <row r="394" spans="1:12" ht="18.5" customHeight="1" x14ac:dyDescent="0.2">
      <c r="A394" s="60"/>
      <c r="B394" s="61"/>
      <c r="C394" s="139"/>
      <c r="D394" s="63"/>
      <c r="E394" s="63"/>
      <c r="F394" s="64"/>
      <c r="G394" s="65"/>
      <c r="H394" s="65"/>
      <c r="I394" s="61"/>
      <c r="J394" s="61"/>
      <c r="K394" s="67"/>
      <c r="L394" s="64"/>
    </row>
    <row r="395" spans="1:12" ht="18.5" customHeight="1" x14ac:dyDescent="0.2">
      <c r="A395" s="60"/>
      <c r="B395" s="61"/>
      <c r="C395" s="139"/>
      <c r="D395" s="63"/>
      <c r="E395" s="63"/>
      <c r="F395" s="64"/>
      <c r="G395" s="65"/>
      <c r="H395" s="65"/>
      <c r="I395" s="61"/>
      <c r="J395" s="61"/>
      <c r="K395" s="67"/>
      <c r="L395" s="64"/>
    </row>
    <row r="396" spans="1:12" ht="18.5" customHeight="1" x14ac:dyDescent="0.2">
      <c r="A396" s="60"/>
      <c r="B396" s="61"/>
      <c r="C396" s="139"/>
      <c r="D396" s="63"/>
      <c r="E396" s="63"/>
      <c r="F396" s="64"/>
      <c r="G396" s="65"/>
      <c r="H396" s="65"/>
      <c r="I396" s="61"/>
      <c r="J396" s="61"/>
      <c r="K396" s="67"/>
      <c r="L396" s="64"/>
    </row>
    <row r="397" spans="1:12" ht="18.5" customHeight="1" x14ac:dyDescent="0.2">
      <c r="A397" s="60"/>
      <c r="B397" s="61"/>
      <c r="C397" s="139"/>
      <c r="D397" s="63"/>
      <c r="E397" s="63"/>
      <c r="F397" s="64"/>
      <c r="G397" s="65"/>
      <c r="H397" s="65"/>
      <c r="I397" s="61"/>
      <c r="J397" s="61"/>
      <c r="K397" s="67"/>
      <c r="L397" s="64"/>
    </row>
    <row r="398" spans="1:12" ht="18.5" customHeight="1" x14ac:dyDescent="0.2">
      <c r="A398" s="60"/>
      <c r="B398" s="61"/>
      <c r="C398" s="139"/>
      <c r="D398" s="63"/>
      <c r="E398" s="63"/>
      <c r="F398" s="64"/>
      <c r="G398" s="65"/>
      <c r="H398" s="65"/>
      <c r="I398" s="61"/>
      <c r="J398" s="61"/>
      <c r="K398" s="67"/>
      <c r="L398" s="64"/>
    </row>
    <row r="399" spans="1:12" ht="18.5" customHeight="1" x14ac:dyDescent="0.2">
      <c r="A399" s="60"/>
      <c r="B399" s="61"/>
      <c r="C399" s="139"/>
      <c r="D399" s="63"/>
      <c r="E399" s="63"/>
      <c r="F399" s="64"/>
      <c r="G399" s="65"/>
      <c r="H399" s="65"/>
      <c r="I399" s="61"/>
      <c r="J399" s="61"/>
      <c r="K399" s="67"/>
      <c r="L399" s="64"/>
    </row>
    <row r="400" spans="1:12" ht="18.5" customHeight="1" x14ac:dyDescent="0.2">
      <c r="A400" s="60"/>
      <c r="B400" s="61"/>
      <c r="C400" s="139"/>
      <c r="D400" s="63"/>
      <c r="E400" s="63"/>
      <c r="F400" s="64"/>
      <c r="G400" s="65"/>
      <c r="H400" s="65"/>
      <c r="I400" s="61"/>
      <c r="J400" s="61"/>
      <c r="K400" s="67"/>
      <c r="L400" s="64"/>
    </row>
    <row r="401" spans="1:12" ht="18.5" customHeight="1" x14ac:dyDescent="0.2">
      <c r="A401" s="60"/>
      <c r="B401" s="61"/>
      <c r="C401" s="139"/>
      <c r="D401" s="63"/>
      <c r="E401" s="63"/>
      <c r="F401" s="64"/>
      <c r="G401" s="65"/>
      <c r="H401" s="65"/>
      <c r="I401" s="61"/>
      <c r="J401" s="61"/>
      <c r="K401" s="67"/>
      <c r="L401" s="64"/>
    </row>
    <row r="402" spans="1:12" ht="18.5" customHeight="1" x14ac:dyDescent="0.2">
      <c r="A402" s="60"/>
      <c r="B402" s="61"/>
      <c r="C402" s="139"/>
      <c r="D402" s="63"/>
      <c r="E402" s="63"/>
      <c r="F402" s="64"/>
      <c r="G402" s="65"/>
      <c r="H402" s="65"/>
      <c r="I402" s="61"/>
      <c r="J402" s="61"/>
      <c r="K402" s="67"/>
      <c r="L402" s="64"/>
    </row>
    <row r="403" spans="1:12" ht="18.5" customHeight="1" x14ac:dyDescent="0.2">
      <c r="A403" s="60"/>
      <c r="B403" s="61"/>
      <c r="C403" s="139"/>
      <c r="D403" s="63"/>
      <c r="E403" s="63"/>
      <c r="F403" s="64"/>
      <c r="G403" s="65"/>
      <c r="H403" s="65"/>
      <c r="I403" s="66"/>
      <c r="J403" s="61"/>
      <c r="K403" s="67"/>
      <c r="L403" s="64"/>
    </row>
    <row r="404" spans="1:12" ht="18.5" customHeight="1" x14ac:dyDescent="0.2">
      <c r="A404" s="60"/>
      <c r="B404" s="61"/>
      <c r="C404" s="139"/>
      <c r="D404" s="63"/>
      <c r="E404" s="63"/>
      <c r="F404" s="64"/>
      <c r="G404" s="65"/>
      <c r="H404" s="65"/>
      <c r="I404" s="66"/>
      <c r="J404" s="61"/>
      <c r="K404" s="67"/>
      <c r="L404" s="64"/>
    </row>
    <row r="405" spans="1:12" ht="18.5" customHeight="1" x14ac:dyDescent="0.2">
      <c r="A405" s="60"/>
      <c r="B405" s="61"/>
      <c r="C405" s="139"/>
      <c r="D405" s="63"/>
      <c r="E405" s="63"/>
      <c r="F405" s="64"/>
      <c r="G405" s="65"/>
      <c r="H405" s="65"/>
      <c r="I405" s="66"/>
      <c r="J405" s="61"/>
      <c r="K405" s="67"/>
      <c r="L405" s="64"/>
    </row>
    <row r="406" spans="1:12" ht="18.5" customHeight="1" x14ac:dyDescent="0.2">
      <c r="A406" s="60"/>
      <c r="B406" s="61"/>
      <c r="C406" s="139"/>
      <c r="D406" s="63"/>
      <c r="E406" s="63"/>
      <c r="F406" s="64"/>
      <c r="G406" s="65"/>
      <c r="H406" s="65"/>
      <c r="I406" s="61"/>
      <c r="J406" s="61"/>
      <c r="K406" s="67"/>
      <c r="L406" s="64"/>
    </row>
    <row r="407" spans="1:12" ht="18.5" customHeight="1" x14ac:dyDescent="0.2">
      <c r="A407" s="60"/>
      <c r="B407" s="61"/>
      <c r="C407" s="139"/>
      <c r="D407" s="63"/>
      <c r="E407" s="63"/>
      <c r="F407" s="64"/>
      <c r="G407" s="65"/>
      <c r="H407" s="65"/>
      <c r="I407" s="61"/>
      <c r="J407" s="61"/>
      <c r="K407" s="67"/>
      <c r="L407" s="64"/>
    </row>
    <row r="408" spans="1:12" ht="18.5" customHeight="1" x14ac:dyDescent="0.2">
      <c r="A408" s="60"/>
      <c r="B408" s="61"/>
      <c r="C408" s="139"/>
      <c r="D408" s="63"/>
      <c r="E408" s="63"/>
      <c r="F408" s="64"/>
      <c r="G408" s="65"/>
      <c r="H408" s="65"/>
      <c r="I408" s="61"/>
      <c r="J408" s="61"/>
      <c r="K408" s="67"/>
      <c r="L408" s="64"/>
    </row>
    <row r="409" spans="1:12" ht="18.5" customHeight="1" x14ac:dyDescent="0.2">
      <c r="A409" s="60"/>
      <c r="B409" s="61"/>
      <c r="C409" s="140"/>
      <c r="D409" s="63"/>
      <c r="E409" s="63"/>
      <c r="F409" s="64"/>
      <c r="G409" s="65"/>
      <c r="H409" s="65"/>
      <c r="I409" s="61"/>
      <c r="J409" s="61"/>
      <c r="K409" s="67"/>
      <c r="L409" s="64"/>
    </row>
    <row r="410" spans="1:12" ht="18.5" customHeight="1" x14ac:dyDescent="0.2">
      <c r="A410" s="60"/>
      <c r="B410" s="61"/>
      <c r="C410" s="140"/>
      <c r="D410" s="63"/>
      <c r="E410" s="63"/>
      <c r="F410" s="64"/>
      <c r="G410" s="65"/>
      <c r="H410" s="65"/>
      <c r="I410" s="61"/>
      <c r="J410" s="61"/>
      <c r="K410" s="67"/>
      <c r="L410" s="64"/>
    </row>
    <row r="411" spans="1:12" ht="18.5" customHeight="1" x14ac:dyDescent="0.2">
      <c r="A411" s="60"/>
      <c r="B411" s="61"/>
      <c r="C411" s="139"/>
      <c r="D411" s="63"/>
      <c r="E411" s="63"/>
      <c r="F411" s="64"/>
      <c r="G411" s="65"/>
      <c r="H411" s="65"/>
      <c r="I411" s="61"/>
      <c r="J411" s="61"/>
      <c r="K411" s="67"/>
      <c r="L411" s="64"/>
    </row>
    <row r="412" spans="1:12" ht="18.5" customHeight="1" x14ac:dyDescent="0.2">
      <c r="A412" s="60"/>
      <c r="B412" s="61"/>
      <c r="C412" s="140"/>
      <c r="D412" s="63"/>
      <c r="E412" s="63"/>
      <c r="F412" s="64"/>
      <c r="G412" s="65"/>
      <c r="H412" s="65"/>
      <c r="I412" s="61"/>
      <c r="J412" s="61"/>
      <c r="K412" s="67"/>
      <c r="L412" s="64"/>
    </row>
    <row r="413" spans="1:12" ht="18.5" customHeight="1" x14ac:dyDescent="0.2">
      <c r="A413" s="60"/>
      <c r="B413" s="61"/>
      <c r="C413" s="140"/>
      <c r="D413" s="63"/>
      <c r="E413" s="63"/>
      <c r="F413" s="64"/>
      <c r="G413" s="65"/>
      <c r="H413" s="65"/>
      <c r="I413" s="61"/>
      <c r="J413" s="61"/>
      <c r="K413" s="67"/>
      <c r="L413" s="64"/>
    </row>
    <row r="414" spans="1:12" ht="18.5" customHeight="1" x14ac:dyDescent="0.2">
      <c r="A414" s="60"/>
      <c r="B414" s="61"/>
      <c r="C414" s="140"/>
      <c r="D414" s="63"/>
      <c r="E414" s="63"/>
      <c r="F414" s="64"/>
      <c r="G414" s="65"/>
      <c r="H414" s="65"/>
      <c r="I414" s="61"/>
      <c r="J414" s="61"/>
      <c r="K414" s="67"/>
      <c r="L414" s="64"/>
    </row>
    <row r="415" spans="1:12" ht="18.5" customHeight="1" x14ac:dyDescent="0.2">
      <c r="A415" s="60"/>
      <c r="B415" s="61"/>
      <c r="C415" s="140"/>
      <c r="D415" s="63"/>
      <c r="E415" s="63"/>
      <c r="F415" s="64"/>
      <c r="G415" s="65"/>
      <c r="H415" s="65"/>
      <c r="I415" s="61"/>
      <c r="J415" s="61"/>
      <c r="K415" s="67"/>
      <c r="L415" s="64"/>
    </row>
    <row r="416" spans="1:12" ht="18.5" customHeight="1" x14ac:dyDescent="0.2">
      <c r="A416" s="60"/>
      <c r="B416" s="61"/>
      <c r="C416" s="139"/>
      <c r="D416" s="63"/>
      <c r="E416" s="63"/>
      <c r="F416" s="64"/>
      <c r="G416" s="65"/>
      <c r="H416" s="65"/>
      <c r="I416" s="61"/>
      <c r="J416" s="61"/>
      <c r="K416" s="67"/>
      <c r="L416" s="64"/>
    </row>
    <row r="417" spans="1:12" ht="18.5" customHeight="1" x14ac:dyDescent="0.2">
      <c r="A417" s="60"/>
      <c r="B417" s="61"/>
      <c r="C417" s="139"/>
      <c r="D417" s="63"/>
      <c r="E417" s="63"/>
      <c r="F417" s="64"/>
      <c r="G417" s="65"/>
      <c r="H417" s="65"/>
      <c r="I417" s="61"/>
      <c r="J417" s="61"/>
      <c r="K417" s="67"/>
      <c r="L417" s="64"/>
    </row>
    <row r="418" spans="1:12" ht="18.5" customHeight="1" x14ac:dyDescent="0.2">
      <c r="A418" s="60"/>
      <c r="B418" s="61"/>
      <c r="C418" s="139"/>
      <c r="D418" s="63"/>
      <c r="E418" s="63"/>
      <c r="F418" s="64"/>
      <c r="G418" s="65"/>
      <c r="H418" s="65"/>
      <c r="I418" s="61"/>
      <c r="J418" s="61"/>
      <c r="K418" s="67"/>
      <c r="L418" s="64"/>
    </row>
    <row r="419" spans="1:12" ht="18.5" customHeight="1" x14ac:dyDescent="0.2">
      <c r="A419" s="60"/>
      <c r="B419" s="61"/>
      <c r="C419" s="140"/>
      <c r="D419" s="63"/>
      <c r="E419" s="63"/>
      <c r="F419" s="64"/>
      <c r="G419" s="65"/>
      <c r="H419" s="65"/>
      <c r="I419" s="61"/>
      <c r="J419" s="61"/>
      <c r="K419" s="67"/>
      <c r="L419" s="64"/>
    </row>
    <row r="420" spans="1:12" ht="18.5" customHeight="1" x14ac:dyDescent="0.2">
      <c r="A420" s="60"/>
      <c r="B420" s="61"/>
      <c r="C420" s="140"/>
      <c r="D420" s="63"/>
      <c r="E420" s="63"/>
      <c r="F420" s="64"/>
      <c r="G420" s="65"/>
      <c r="H420" s="65"/>
      <c r="I420" s="61"/>
      <c r="J420" s="61"/>
      <c r="K420" s="67"/>
      <c r="L420" s="64"/>
    </row>
    <row r="421" spans="1:12" ht="18.5" customHeight="1" x14ac:dyDescent="0.2">
      <c r="A421" s="60"/>
      <c r="B421" s="61"/>
      <c r="C421" s="139"/>
      <c r="D421" s="63"/>
      <c r="E421" s="63"/>
      <c r="F421" s="64"/>
      <c r="G421" s="65"/>
      <c r="H421" s="65"/>
      <c r="I421" s="61"/>
      <c r="J421" s="61"/>
      <c r="K421" s="67"/>
      <c r="L421" s="64"/>
    </row>
    <row r="422" spans="1:12" ht="18.5" customHeight="1" x14ac:dyDescent="0.2">
      <c r="A422" s="60"/>
      <c r="B422" s="61"/>
      <c r="C422" s="139"/>
      <c r="D422" s="63"/>
      <c r="E422" s="63"/>
      <c r="F422" s="64"/>
      <c r="G422" s="65"/>
      <c r="H422" s="65"/>
      <c r="I422" s="61"/>
      <c r="J422" s="61"/>
      <c r="K422" s="67"/>
      <c r="L422" s="64"/>
    </row>
    <row r="423" spans="1:12" ht="18.5" customHeight="1" x14ac:dyDescent="0.2">
      <c r="A423" s="60"/>
      <c r="B423" s="61"/>
      <c r="C423" s="139"/>
      <c r="D423" s="63"/>
      <c r="E423" s="63"/>
      <c r="F423" s="64"/>
      <c r="G423" s="65"/>
      <c r="H423" s="65"/>
      <c r="I423" s="61"/>
      <c r="J423" s="61"/>
      <c r="K423" s="67"/>
      <c r="L423" s="64"/>
    </row>
    <row r="424" spans="1:12" ht="18.5" customHeight="1" x14ac:dyDescent="0.2">
      <c r="A424" s="60"/>
      <c r="B424" s="61"/>
      <c r="C424" s="139"/>
      <c r="D424" s="63"/>
      <c r="E424" s="63"/>
      <c r="F424" s="64"/>
      <c r="G424" s="65"/>
      <c r="H424" s="65"/>
      <c r="I424" s="61"/>
      <c r="J424" s="61"/>
      <c r="K424" s="67"/>
      <c r="L424" s="64"/>
    </row>
    <row r="425" spans="1:12" ht="18.5" customHeight="1" x14ac:dyDescent="0.2">
      <c r="A425" s="60"/>
      <c r="B425" s="61"/>
      <c r="C425" s="139"/>
      <c r="D425" s="63"/>
      <c r="E425" s="63"/>
      <c r="F425" s="64"/>
      <c r="G425" s="65"/>
      <c r="H425" s="65"/>
      <c r="I425" s="61"/>
      <c r="J425" s="61"/>
      <c r="K425" s="67"/>
      <c r="L425" s="64"/>
    </row>
    <row r="426" spans="1:12" ht="18.5" customHeight="1" x14ac:dyDescent="0.2">
      <c r="A426" s="60"/>
      <c r="B426" s="61"/>
      <c r="C426" s="140"/>
      <c r="D426" s="63"/>
      <c r="E426" s="63"/>
      <c r="F426" s="64"/>
      <c r="G426" s="65"/>
      <c r="H426" s="65"/>
      <c r="I426" s="61"/>
      <c r="J426" s="61"/>
      <c r="K426" s="67"/>
      <c r="L426" s="64"/>
    </row>
    <row r="427" spans="1:12" ht="18.5" customHeight="1" x14ac:dyDescent="0.2">
      <c r="A427" s="60"/>
      <c r="B427" s="61"/>
      <c r="C427" s="139"/>
      <c r="D427" s="63"/>
      <c r="E427" s="63"/>
      <c r="F427" s="64"/>
      <c r="G427" s="65"/>
      <c r="H427" s="65"/>
      <c r="I427" s="61"/>
      <c r="J427" s="61"/>
      <c r="K427" s="67"/>
      <c r="L427" s="64"/>
    </row>
    <row r="428" spans="1:12" ht="18.5" customHeight="1" x14ac:dyDescent="0.2">
      <c r="A428" s="60"/>
      <c r="B428" s="61"/>
      <c r="C428" s="139"/>
      <c r="D428" s="63"/>
      <c r="E428" s="63"/>
      <c r="F428" s="64"/>
      <c r="G428" s="65"/>
      <c r="H428" s="65"/>
      <c r="I428" s="61"/>
      <c r="J428" s="61"/>
      <c r="K428" s="67"/>
      <c r="L428" s="64"/>
    </row>
    <row r="429" spans="1:12" ht="18.5" customHeight="1" x14ac:dyDescent="0.2">
      <c r="A429" s="60"/>
      <c r="B429" s="61"/>
      <c r="C429" s="139"/>
      <c r="D429" s="63"/>
      <c r="E429" s="63"/>
      <c r="F429" s="64"/>
      <c r="G429" s="65"/>
      <c r="H429" s="65"/>
      <c r="I429" s="61"/>
      <c r="J429" s="61"/>
      <c r="K429" s="67"/>
      <c r="L429" s="64"/>
    </row>
    <row r="430" spans="1:12" ht="18.5" customHeight="1" x14ac:dyDescent="0.2">
      <c r="A430" s="60"/>
      <c r="B430" s="61"/>
      <c r="C430" s="139"/>
      <c r="D430" s="63"/>
      <c r="E430" s="63"/>
      <c r="F430" s="64"/>
      <c r="G430" s="65"/>
      <c r="H430" s="65"/>
      <c r="I430" s="61"/>
      <c r="J430" s="61"/>
      <c r="K430" s="67"/>
      <c r="L430" s="64"/>
    </row>
    <row r="431" spans="1:12" ht="18.5" customHeight="1" x14ac:dyDescent="0.2">
      <c r="A431" s="60"/>
      <c r="B431" s="61"/>
      <c r="C431" s="139"/>
      <c r="D431" s="63"/>
      <c r="E431" s="63"/>
      <c r="F431" s="64"/>
      <c r="G431" s="65"/>
      <c r="H431" s="65"/>
      <c r="I431" s="61"/>
      <c r="J431" s="61"/>
      <c r="K431" s="67"/>
      <c r="L431" s="64"/>
    </row>
    <row r="432" spans="1:12" ht="18.5" customHeight="1" x14ac:dyDescent="0.2">
      <c r="A432" s="60"/>
      <c r="B432" s="61"/>
      <c r="C432" s="139"/>
      <c r="D432" s="63"/>
      <c r="E432" s="63"/>
      <c r="F432" s="64"/>
      <c r="G432" s="65"/>
      <c r="H432" s="65"/>
      <c r="I432" s="61"/>
      <c r="J432" s="61"/>
      <c r="K432" s="67"/>
      <c r="L432" s="64"/>
    </row>
    <row r="433" spans="1:12" ht="18.5" customHeight="1" x14ac:dyDescent="0.2">
      <c r="A433" s="60"/>
      <c r="B433" s="61"/>
      <c r="C433" s="139"/>
      <c r="D433" s="63"/>
      <c r="E433" s="63"/>
      <c r="F433" s="64"/>
      <c r="G433" s="65"/>
      <c r="H433" s="65"/>
      <c r="I433" s="61"/>
      <c r="J433" s="61"/>
      <c r="K433" s="67"/>
      <c r="L433" s="64"/>
    </row>
    <row r="434" spans="1:12" ht="18.5" customHeight="1" x14ac:dyDescent="0.2">
      <c r="A434" s="60"/>
      <c r="B434" s="61"/>
      <c r="C434" s="139"/>
      <c r="D434" s="63"/>
      <c r="E434" s="63"/>
      <c r="F434" s="64"/>
      <c r="G434" s="65"/>
      <c r="H434" s="65"/>
      <c r="I434" s="61"/>
      <c r="J434" s="61"/>
      <c r="K434" s="67"/>
      <c r="L434" s="64"/>
    </row>
    <row r="435" spans="1:12" ht="18.5" customHeight="1" x14ac:dyDescent="0.2">
      <c r="A435" s="60"/>
      <c r="B435" s="61"/>
      <c r="C435" s="139"/>
      <c r="D435" s="63"/>
      <c r="E435" s="63"/>
      <c r="F435" s="64"/>
      <c r="G435" s="65"/>
      <c r="H435" s="65"/>
      <c r="I435" s="61"/>
      <c r="J435" s="61"/>
      <c r="K435" s="67"/>
      <c r="L435" s="64"/>
    </row>
    <row r="436" spans="1:12" ht="18.5" customHeight="1" x14ac:dyDescent="0.2">
      <c r="A436" s="60"/>
      <c r="B436" s="61"/>
      <c r="C436" s="139"/>
      <c r="D436" s="63"/>
      <c r="E436" s="63"/>
      <c r="F436" s="64"/>
      <c r="G436" s="65"/>
      <c r="H436" s="65"/>
      <c r="I436" s="61"/>
      <c r="J436" s="61"/>
      <c r="K436" s="67"/>
      <c r="L436" s="64"/>
    </row>
    <row r="437" spans="1:12" ht="18.5" customHeight="1" x14ac:dyDescent="0.2">
      <c r="A437" s="60"/>
      <c r="B437" s="61"/>
      <c r="C437" s="139"/>
      <c r="D437" s="63"/>
      <c r="E437" s="63"/>
      <c r="F437" s="64"/>
      <c r="G437" s="65"/>
      <c r="H437" s="65"/>
      <c r="I437" s="61"/>
      <c r="J437" s="61"/>
      <c r="K437" s="67"/>
      <c r="L437" s="64"/>
    </row>
    <row r="438" spans="1:12" ht="18.5" customHeight="1" x14ac:dyDescent="0.2">
      <c r="A438" s="60"/>
      <c r="B438" s="61"/>
      <c r="C438" s="140"/>
      <c r="D438" s="63"/>
      <c r="E438" s="63"/>
      <c r="F438" s="64"/>
      <c r="G438" s="65"/>
      <c r="H438" s="65"/>
      <c r="I438" s="61"/>
      <c r="J438" s="61"/>
      <c r="K438" s="67"/>
      <c r="L438" s="64"/>
    </row>
    <row r="439" spans="1:12" ht="18.5" customHeight="1" x14ac:dyDescent="0.2">
      <c r="A439" s="60"/>
      <c r="B439" s="61"/>
      <c r="C439" s="139"/>
      <c r="D439" s="63"/>
      <c r="E439" s="63"/>
      <c r="F439" s="64"/>
      <c r="G439" s="65"/>
      <c r="H439" s="65"/>
      <c r="I439" s="61"/>
      <c r="J439" s="61"/>
      <c r="K439" s="67"/>
      <c r="L439" s="64"/>
    </row>
    <row r="440" spans="1:12" ht="18.5" customHeight="1" x14ac:dyDescent="0.2">
      <c r="A440" s="60"/>
      <c r="B440" s="61"/>
      <c r="C440" s="139"/>
      <c r="D440" s="63"/>
      <c r="E440" s="63"/>
      <c r="F440" s="64"/>
      <c r="G440" s="65"/>
      <c r="H440" s="65"/>
      <c r="I440" s="61"/>
      <c r="J440" s="61"/>
      <c r="K440" s="67"/>
      <c r="L440" s="64"/>
    </row>
    <row r="441" spans="1:12" ht="18.5" customHeight="1" x14ac:dyDescent="0.2">
      <c r="A441" s="60"/>
      <c r="B441" s="61"/>
      <c r="C441" s="139"/>
      <c r="D441" s="63"/>
      <c r="E441" s="63"/>
      <c r="F441" s="64"/>
      <c r="G441" s="65"/>
      <c r="H441" s="65"/>
      <c r="I441" s="61"/>
      <c r="J441" s="61"/>
      <c r="K441" s="67"/>
      <c r="L441" s="64"/>
    </row>
    <row r="442" spans="1:12" ht="18.5" customHeight="1" x14ac:dyDescent="0.2">
      <c r="A442" s="60"/>
      <c r="B442" s="61"/>
      <c r="C442" s="139"/>
      <c r="D442" s="63"/>
      <c r="E442" s="63"/>
      <c r="F442" s="64"/>
      <c r="G442" s="65"/>
      <c r="H442" s="65"/>
      <c r="I442" s="61"/>
      <c r="J442" s="61"/>
      <c r="K442" s="67"/>
      <c r="L442" s="64"/>
    </row>
    <row r="443" spans="1:12" ht="18.5" customHeight="1" x14ac:dyDescent="0.2">
      <c r="A443" s="60"/>
      <c r="B443" s="61"/>
      <c r="C443" s="139"/>
      <c r="D443" s="63"/>
      <c r="E443" s="63"/>
      <c r="F443" s="64"/>
      <c r="G443" s="65"/>
      <c r="H443" s="65"/>
      <c r="I443" s="61"/>
      <c r="J443" s="61"/>
      <c r="K443" s="67"/>
      <c r="L443" s="64"/>
    </row>
    <row r="444" spans="1:12" ht="18.5" customHeight="1" x14ac:dyDescent="0.2">
      <c r="A444" s="60"/>
      <c r="B444" s="61"/>
      <c r="C444" s="139"/>
      <c r="D444" s="63"/>
      <c r="E444" s="63"/>
      <c r="F444" s="64"/>
      <c r="G444" s="65"/>
      <c r="H444" s="65"/>
      <c r="I444" s="61"/>
      <c r="J444" s="61"/>
      <c r="K444" s="67"/>
      <c r="L444" s="64"/>
    </row>
    <row r="445" spans="1:12" ht="18.5" customHeight="1" x14ac:dyDescent="0.2">
      <c r="A445" s="60"/>
      <c r="B445" s="61"/>
      <c r="C445" s="139"/>
      <c r="D445" s="63"/>
      <c r="E445" s="63"/>
      <c r="F445" s="64"/>
      <c r="G445" s="65"/>
      <c r="H445" s="65"/>
      <c r="I445" s="61"/>
      <c r="J445" s="61"/>
      <c r="K445" s="67"/>
      <c r="L445" s="64"/>
    </row>
    <row r="446" spans="1:12" ht="18.5" customHeight="1" x14ac:dyDescent="0.2">
      <c r="A446" s="60"/>
      <c r="B446" s="61"/>
      <c r="C446" s="139"/>
      <c r="D446" s="63"/>
      <c r="E446" s="63"/>
      <c r="F446" s="64"/>
      <c r="G446" s="65"/>
      <c r="H446" s="65"/>
      <c r="I446" s="61"/>
      <c r="J446" s="61"/>
      <c r="K446" s="67"/>
      <c r="L446" s="64"/>
    </row>
    <row r="447" spans="1:12" ht="18.5" customHeight="1" x14ac:dyDescent="0.2">
      <c r="A447" s="60"/>
      <c r="B447" s="61"/>
      <c r="C447" s="139"/>
      <c r="D447" s="63"/>
      <c r="E447" s="63"/>
      <c r="F447" s="64"/>
      <c r="G447" s="65"/>
      <c r="H447" s="65"/>
      <c r="I447" s="61"/>
      <c r="J447" s="61"/>
      <c r="K447" s="67"/>
      <c r="L447" s="64"/>
    </row>
    <row r="448" spans="1:12" ht="18.5" customHeight="1" x14ac:dyDescent="0.2">
      <c r="A448" s="60"/>
      <c r="B448" s="61"/>
      <c r="C448" s="139"/>
      <c r="D448" s="63"/>
      <c r="E448" s="63"/>
      <c r="F448" s="64"/>
      <c r="G448" s="65"/>
      <c r="H448" s="65"/>
      <c r="I448" s="61"/>
      <c r="J448" s="61"/>
      <c r="K448" s="67"/>
      <c r="L448" s="64"/>
    </row>
    <row r="449" spans="1:12" ht="18.5" customHeight="1" x14ac:dyDescent="0.2">
      <c r="A449" s="60"/>
      <c r="B449" s="61"/>
      <c r="C449" s="139"/>
      <c r="D449" s="63"/>
      <c r="E449" s="63"/>
      <c r="F449" s="64"/>
      <c r="G449" s="65"/>
      <c r="H449" s="65"/>
      <c r="I449" s="61"/>
      <c r="J449" s="61"/>
      <c r="K449" s="67"/>
      <c r="L449" s="64"/>
    </row>
    <row r="450" spans="1:12" ht="18.5" customHeight="1" x14ac:dyDescent="0.2">
      <c r="A450" s="60"/>
      <c r="B450" s="61"/>
      <c r="C450" s="139"/>
      <c r="D450" s="63"/>
      <c r="E450" s="63"/>
      <c r="F450" s="64"/>
      <c r="G450" s="65"/>
      <c r="H450" s="65"/>
      <c r="I450" s="61"/>
      <c r="J450" s="61"/>
      <c r="K450" s="67"/>
      <c r="L450" s="64"/>
    </row>
    <row r="451" spans="1:12" ht="18.5" customHeight="1" x14ac:dyDescent="0.2">
      <c r="A451" s="60"/>
      <c r="B451" s="61"/>
      <c r="C451" s="140"/>
      <c r="D451" s="63"/>
      <c r="E451" s="63"/>
      <c r="F451" s="64"/>
      <c r="G451" s="65"/>
      <c r="H451" s="65"/>
      <c r="I451" s="61"/>
      <c r="J451" s="61"/>
      <c r="K451" s="67"/>
      <c r="L451" s="64"/>
    </row>
    <row r="452" spans="1:12" ht="18.5" customHeight="1" x14ac:dyDescent="0.2">
      <c r="A452" s="60"/>
      <c r="B452" s="61"/>
      <c r="C452" s="139"/>
      <c r="D452" s="63"/>
      <c r="E452" s="63"/>
      <c r="F452" s="64"/>
      <c r="G452" s="65"/>
      <c r="H452" s="65"/>
      <c r="I452" s="61"/>
      <c r="J452" s="61"/>
      <c r="K452" s="67"/>
      <c r="L452" s="64"/>
    </row>
    <row r="453" spans="1:12" ht="18.5" customHeight="1" x14ac:dyDescent="0.2">
      <c r="A453" s="60"/>
      <c r="B453" s="61"/>
      <c r="C453" s="140"/>
      <c r="D453" s="63"/>
      <c r="E453" s="63"/>
      <c r="F453" s="64"/>
      <c r="G453" s="65"/>
      <c r="H453" s="65"/>
      <c r="I453" s="61"/>
      <c r="J453" s="61"/>
      <c r="K453" s="67"/>
      <c r="L453" s="64"/>
    </row>
    <row r="454" spans="1:12" ht="18.5" customHeight="1" x14ac:dyDescent="0.2">
      <c r="A454" s="60"/>
      <c r="B454" s="61"/>
      <c r="C454" s="139"/>
      <c r="D454" s="63"/>
      <c r="E454" s="63"/>
      <c r="F454" s="64"/>
      <c r="G454" s="65"/>
      <c r="H454" s="65"/>
      <c r="I454" s="61"/>
      <c r="J454" s="61"/>
      <c r="K454" s="67"/>
      <c r="L454" s="64"/>
    </row>
    <row r="455" spans="1:12" ht="18.5" customHeight="1" x14ac:dyDescent="0.2">
      <c r="A455" s="60"/>
      <c r="B455" s="61"/>
      <c r="C455" s="140"/>
      <c r="D455" s="63"/>
      <c r="E455" s="63"/>
      <c r="F455" s="64"/>
      <c r="G455" s="65"/>
      <c r="H455" s="65"/>
      <c r="I455" s="61"/>
      <c r="J455" s="61"/>
      <c r="K455" s="67"/>
      <c r="L455" s="64"/>
    </row>
    <row r="456" spans="1:12" ht="18.5" customHeight="1" x14ac:dyDescent="0.2">
      <c r="A456" s="60"/>
      <c r="B456" s="61"/>
      <c r="C456" s="140"/>
      <c r="D456" s="63"/>
      <c r="E456" s="63"/>
      <c r="F456" s="64"/>
      <c r="G456" s="65"/>
      <c r="H456" s="65"/>
      <c r="I456" s="61"/>
      <c r="J456" s="61"/>
      <c r="K456" s="67"/>
      <c r="L456" s="64"/>
    </row>
    <row r="457" spans="1:12" ht="18.5" customHeight="1" x14ac:dyDescent="0.2">
      <c r="A457" s="60"/>
      <c r="B457" s="61"/>
      <c r="C457" s="139"/>
      <c r="D457" s="63"/>
      <c r="E457" s="63"/>
      <c r="F457" s="64"/>
      <c r="G457" s="65"/>
      <c r="H457" s="65"/>
      <c r="I457" s="61"/>
      <c r="J457" s="61"/>
      <c r="K457" s="67"/>
      <c r="L457" s="64"/>
    </row>
    <row r="458" spans="1:12" ht="18.5" customHeight="1" x14ac:dyDescent="0.2">
      <c r="A458" s="60"/>
      <c r="B458" s="61"/>
      <c r="C458" s="140"/>
      <c r="D458" s="63"/>
      <c r="E458" s="63"/>
      <c r="F458" s="64"/>
      <c r="G458" s="65"/>
      <c r="H458" s="65"/>
      <c r="I458" s="61"/>
      <c r="J458" s="61"/>
      <c r="K458" s="67"/>
      <c r="L458" s="64"/>
    </row>
    <row r="459" spans="1:12" ht="18.5" customHeight="1" x14ac:dyDescent="0.2">
      <c r="A459" s="60"/>
      <c r="B459" s="61"/>
      <c r="C459" s="140"/>
      <c r="D459" s="63"/>
      <c r="E459" s="63"/>
      <c r="F459" s="64"/>
      <c r="G459" s="65"/>
      <c r="H459" s="65"/>
      <c r="I459" s="61"/>
      <c r="J459" s="61"/>
      <c r="K459" s="67"/>
      <c r="L459" s="64"/>
    </row>
    <row r="460" spans="1:12" ht="18.5" customHeight="1" x14ac:dyDescent="0.2">
      <c r="A460" s="60"/>
      <c r="B460" s="61"/>
      <c r="C460" s="140"/>
      <c r="D460" s="63"/>
      <c r="E460" s="63"/>
      <c r="F460" s="64"/>
      <c r="G460" s="65"/>
      <c r="H460" s="65"/>
      <c r="I460" s="61"/>
      <c r="J460" s="61"/>
      <c r="K460" s="67"/>
      <c r="L460" s="64"/>
    </row>
    <row r="461" spans="1:12" ht="18.5" customHeight="1" x14ac:dyDescent="0.2">
      <c r="A461" s="60"/>
      <c r="B461" s="61"/>
      <c r="C461" s="140"/>
      <c r="D461" s="63"/>
      <c r="E461" s="63"/>
      <c r="F461" s="64"/>
      <c r="G461" s="65"/>
      <c r="H461" s="65"/>
      <c r="I461" s="61"/>
      <c r="J461" s="61"/>
      <c r="K461" s="67"/>
      <c r="L461" s="64"/>
    </row>
    <row r="462" spans="1:12" ht="18.5" customHeight="1" x14ac:dyDescent="0.2">
      <c r="A462" s="60"/>
      <c r="B462" s="61"/>
      <c r="C462" s="140"/>
      <c r="D462" s="63"/>
      <c r="E462" s="63"/>
      <c r="F462" s="64"/>
      <c r="G462" s="65"/>
      <c r="H462" s="65"/>
      <c r="I462" s="61"/>
      <c r="J462" s="61"/>
      <c r="K462" s="67"/>
      <c r="L462" s="64"/>
    </row>
    <row r="463" spans="1:12" ht="18.5" customHeight="1" x14ac:dyDescent="0.2">
      <c r="A463" s="60"/>
      <c r="B463" s="61"/>
      <c r="C463" s="140"/>
      <c r="D463" s="63"/>
      <c r="E463" s="63"/>
      <c r="F463" s="64"/>
      <c r="G463" s="65"/>
      <c r="H463" s="65"/>
      <c r="I463" s="61"/>
      <c r="J463" s="61"/>
      <c r="K463" s="67"/>
      <c r="L463" s="64"/>
    </row>
    <row r="464" spans="1:12" ht="18.5" customHeight="1" x14ac:dyDescent="0.2">
      <c r="A464" s="60"/>
      <c r="B464" s="61"/>
      <c r="C464" s="140"/>
      <c r="D464" s="63"/>
      <c r="E464" s="63"/>
      <c r="F464" s="64"/>
      <c r="G464" s="65"/>
      <c r="H464" s="65"/>
      <c r="I464" s="61"/>
      <c r="J464" s="61"/>
      <c r="K464" s="67"/>
      <c r="L464" s="64"/>
    </row>
    <row r="465" spans="1:12" ht="18.5" customHeight="1" x14ac:dyDescent="0.2">
      <c r="A465" s="60"/>
      <c r="B465" s="61"/>
      <c r="C465" s="139"/>
      <c r="D465" s="63"/>
      <c r="E465" s="63"/>
      <c r="F465" s="64"/>
      <c r="G465" s="65"/>
      <c r="H465" s="65"/>
      <c r="I465" s="66"/>
      <c r="J465" s="61"/>
      <c r="K465" s="67"/>
      <c r="L465" s="64"/>
    </row>
    <row r="466" spans="1:12" ht="18.5" customHeight="1" x14ac:dyDescent="0.2">
      <c r="A466" s="60"/>
      <c r="B466" s="61"/>
      <c r="C466" s="139"/>
      <c r="D466" s="63"/>
      <c r="E466" s="63"/>
      <c r="F466" s="64"/>
      <c r="G466" s="65"/>
      <c r="H466" s="65"/>
      <c r="I466" s="66"/>
      <c r="J466" s="61"/>
      <c r="K466" s="67"/>
      <c r="L466" s="64"/>
    </row>
    <row r="467" spans="1:12" ht="18.5" customHeight="1" x14ac:dyDescent="0.2">
      <c r="A467" s="60"/>
      <c r="B467" s="61"/>
      <c r="C467" s="139"/>
      <c r="D467" s="63"/>
      <c r="E467" s="63"/>
      <c r="F467" s="64"/>
      <c r="G467" s="65"/>
      <c r="H467" s="65"/>
      <c r="I467" s="66"/>
      <c r="J467" s="61"/>
      <c r="K467" s="67"/>
      <c r="L467" s="64"/>
    </row>
    <row r="468" spans="1:12" ht="18.5" customHeight="1" x14ac:dyDescent="0.2">
      <c r="A468" s="60"/>
      <c r="B468" s="61"/>
      <c r="C468" s="139"/>
      <c r="D468" s="63"/>
      <c r="E468" s="63"/>
      <c r="F468" s="64"/>
      <c r="G468" s="65"/>
      <c r="H468" s="65"/>
      <c r="I468" s="61"/>
      <c r="J468" s="61"/>
      <c r="K468" s="67"/>
      <c r="L468" s="64"/>
    </row>
    <row r="469" spans="1:12" ht="18.5" customHeight="1" x14ac:dyDescent="0.2">
      <c r="A469" s="60"/>
      <c r="B469" s="61"/>
      <c r="C469" s="139"/>
      <c r="D469" s="63"/>
      <c r="E469" s="63"/>
      <c r="F469" s="64"/>
      <c r="G469" s="65"/>
      <c r="H469" s="65"/>
      <c r="I469" s="61"/>
      <c r="J469" s="61"/>
      <c r="K469" s="67"/>
      <c r="L469" s="64"/>
    </row>
    <row r="470" spans="1:12" ht="18.5" customHeight="1" x14ac:dyDescent="0.2">
      <c r="A470" s="60"/>
      <c r="B470" s="61"/>
      <c r="C470" s="139"/>
      <c r="D470" s="63"/>
      <c r="E470" s="63"/>
      <c r="F470" s="64"/>
      <c r="G470" s="65"/>
      <c r="H470" s="65"/>
      <c r="I470" s="61"/>
      <c r="J470" s="61"/>
      <c r="K470" s="67"/>
      <c r="L470" s="64"/>
    </row>
    <row r="471" spans="1:12" ht="18.5" customHeight="1" x14ac:dyDescent="0.2">
      <c r="A471" s="60"/>
      <c r="B471" s="61"/>
      <c r="C471" s="139"/>
      <c r="D471" s="63"/>
      <c r="E471" s="63"/>
      <c r="F471" s="64"/>
      <c r="G471" s="65"/>
      <c r="H471" s="65"/>
      <c r="I471" s="61"/>
      <c r="J471" s="61"/>
      <c r="K471" s="67"/>
      <c r="L471" s="64"/>
    </row>
    <row r="472" spans="1:12" ht="18.5" customHeight="1" x14ac:dyDescent="0.2">
      <c r="A472" s="60"/>
      <c r="B472" s="61"/>
      <c r="C472" s="139"/>
      <c r="D472" s="63"/>
      <c r="E472" s="63"/>
      <c r="F472" s="64"/>
      <c r="G472" s="65"/>
      <c r="H472" s="65"/>
      <c r="I472" s="61"/>
      <c r="J472" s="61"/>
      <c r="K472" s="67"/>
      <c r="L472" s="64"/>
    </row>
    <row r="473" spans="1:12" ht="18.5" customHeight="1" x14ac:dyDescent="0.2">
      <c r="A473" s="60"/>
      <c r="B473" s="61"/>
      <c r="C473" s="139"/>
      <c r="D473" s="63"/>
      <c r="E473" s="63"/>
      <c r="F473" s="64"/>
      <c r="G473" s="65"/>
      <c r="H473" s="65"/>
      <c r="I473" s="61"/>
      <c r="J473" s="61"/>
      <c r="K473" s="67"/>
      <c r="L473" s="64"/>
    </row>
    <row r="474" spans="1:12" ht="18.5" customHeight="1" x14ac:dyDescent="0.2">
      <c r="A474" s="60"/>
      <c r="B474" s="61"/>
      <c r="C474" s="139"/>
      <c r="D474" s="63"/>
      <c r="E474" s="63"/>
      <c r="F474" s="64"/>
      <c r="G474" s="65"/>
      <c r="H474" s="65"/>
      <c r="I474" s="61"/>
      <c r="J474" s="61"/>
      <c r="K474" s="67"/>
      <c r="L474" s="64"/>
    </row>
    <row r="475" spans="1:12" ht="18.5" customHeight="1" x14ac:dyDescent="0.2">
      <c r="A475" s="60"/>
      <c r="B475" s="61"/>
      <c r="C475" s="139"/>
      <c r="D475" s="63"/>
      <c r="E475" s="63"/>
      <c r="F475" s="64"/>
      <c r="G475" s="65"/>
      <c r="H475" s="65"/>
      <c r="I475" s="61"/>
      <c r="J475" s="61"/>
      <c r="K475" s="67"/>
      <c r="L475" s="64"/>
    </row>
    <row r="476" spans="1:12" ht="18.5" customHeight="1" x14ac:dyDescent="0.2">
      <c r="A476" s="60"/>
      <c r="B476" s="61"/>
      <c r="C476" s="139"/>
      <c r="D476" s="63"/>
      <c r="E476" s="63"/>
      <c r="F476" s="64"/>
      <c r="G476" s="65"/>
      <c r="H476" s="65"/>
      <c r="I476" s="61"/>
      <c r="J476" s="61"/>
      <c r="K476" s="67"/>
      <c r="L476" s="64"/>
    </row>
    <row r="477" spans="1:12" ht="18.5" customHeight="1" x14ac:dyDescent="0.2">
      <c r="A477" s="60"/>
      <c r="B477" s="61"/>
      <c r="C477" s="139"/>
      <c r="D477" s="63"/>
      <c r="E477" s="63"/>
      <c r="F477" s="64"/>
      <c r="G477" s="65"/>
      <c r="H477" s="65"/>
      <c r="I477" s="61"/>
      <c r="J477" s="61"/>
      <c r="K477" s="67"/>
      <c r="L477" s="64"/>
    </row>
    <row r="478" spans="1:12" ht="18.5" customHeight="1" x14ac:dyDescent="0.2">
      <c r="A478" s="60"/>
      <c r="B478" s="61"/>
      <c r="C478" s="139"/>
      <c r="D478" s="63"/>
      <c r="E478" s="63"/>
      <c r="F478" s="64"/>
      <c r="G478" s="65"/>
      <c r="H478" s="65"/>
      <c r="I478" s="61"/>
      <c r="J478" s="61"/>
      <c r="K478" s="67"/>
      <c r="L478" s="64"/>
    </row>
    <row r="479" spans="1:12" ht="18.5" customHeight="1" x14ac:dyDescent="0.2">
      <c r="A479" s="60"/>
      <c r="B479" s="61"/>
      <c r="C479" s="139"/>
      <c r="D479" s="63"/>
      <c r="E479" s="63"/>
      <c r="F479" s="64"/>
      <c r="G479" s="65"/>
      <c r="H479" s="65"/>
      <c r="I479" s="61"/>
      <c r="J479" s="61"/>
      <c r="K479" s="67"/>
      <c r="L479" s="64"/>
    </row>
    <row r="480" spans="1:12" ht="18.5" customHeight="1" x14ac:dyDescent="0.2">
      <c r="A480" s="60"/>
      <c r="B480" s="61"/>
      <c r="C480" s="139"/>
      <c r="D480" s="63"/>
      <c r="E480" s="63"/>
      <c r="F480" s="64"/>
      <c r="G480" s="65"/>
      <c r="H480" s="65"/>
      <c r="I480" s="61"/>
      <c r="J480" s="61"/>
      <c r="K480" s="67"/>
      <c r="L480" s="64"/>
    </row>
    <row r="481" spans="1:12" ht="18.5" customHeight="1" x14ac:dyDescent="0.2">
      <c r="A481" s="60"/>
      <c r="B481" s="61"/>
      <c r="C481" s="139"/>
      <c r="D481" s="63"/>
      <c r="E481" s="63"/>
      <c r="F481" s="64"/>
      <c r="G481" s="65"/>
      <c r="H481" s="65"/>
      <c r="I481" s="61"/>
      <c r="J481" s="61"/>
      <c r="K481" s="67"/>
      <c r="L481" s="64"/>
    </row>
    <row r="482" spans="1:12" ht="18.5" customHeight="1" x14ac:dyDescent="0.2">
      <c r="A482" s="60"/>
      <c r="B482" s="61"/>
      <c r="C482" s="139"/>
      <c r="D482" s="63"/>
      <c r="E482" s="63"/>
      <c r="F482" s="64"/>
      <c r="G482" s="65"/>
      <c r="H482" s="65"/>
      <c r="I482" s="61"/>
      <c r="J482" s="61"/>
      <c r="K482" s="67"/>
      <c r="L482" s="64"/>
    </row>
    <row r="483" spans="1:12" ht="18.5" customHeight="1" x14ac:dyDescent="0.2">
      <c r="A483" s="60"/>
      <c r="B483" s="61"/>
      <c r="C483" s="139"/>
      <c r="D483" s="63"/>
      <c r="E483" s="63"/>
      <c r="F483" s="64"/>
      <c r="G483" s="65"/>
      <c r="H483" s="65"/>
      <c r="I483" s="61"/>
      <c r="J483" s="61"/>
      <c r="K483" s="67"/>
      <c r="L483" s="64"/>
    </row>
    <row r="484" spans="1:12" ht="18.5" customHeight="1" x14ac:dyDescent="0.2">
      <c r="A484" s="60"/>
      <c r="B484" s="61"/>
      <c r="C484" s="139"/>
      <c r="D484" s="63"/>
      <c r="E484" s="63"/>
      <c r="F484" s="64"/>
      <c r="G484" s="65"/>
      <c r="H484" s="65"/>
      <c r="I484" s="61"/>
      <c r="J484" s="61"/>
      <c r="K484" s="67"/>
      <c r="L484" s="64"/>
    </row>
    <row r="485" spans="1:12" ht="18.5" customHeight="1" x14ac:dyDescent="0.2">
      <c r="A485" s="60"/>
      <c r="B485" s="61"/>
      <c r="C485" s="139"/>
      <c r="D485" s="63"/>
      <c r="E485" s="63"/>
      <c r="F485" s="64"/>
      <c r="G485" s="65"/>
      <c r="H485" s="65"/>
      <c r="I485" s="61"/>
      <c r="J485" s="61"/>
      <c r="K485" s="67"/>
      <c r="L485" s="64"/>
    </row>
    <row r="486" spans="1:12" ht="18.5" customHeight="1" x14ac:dyDescent="0.2">
      <c r="A486" s="60"/>
      <c r="B486" s="61"/>
      <c r="C486" s="139"/>
      <c r="D486" s="63"/>
      <c r="E486" s="63"/>
      <c r="F486" s="64"/>
      <c r="G486" s="65"/>
      <c r="H486" s="65"/>
      <c r="I486" s="61"/>
      <c r="J486" s="61"/>
      <c r="K486" s="67"/>
      <c r="L486" s="64"/>
    </row>
    <row r="487" spans="1:12" ht="18.5" customHeight="1" x14ac:dyDescent="0.2">
      <c r="A487" s="60"/>
      <c r="B487" s="61"/>
      <c r="C487" s="139"/>
      <c r="D487" s="63"/>
      <c r="E487" s="63"/>
      <c r="F487" s="64"/>
      <c r="G487" s="65"/>
      <c r="H487" s="65"/>
      <c r="I487" s="61"/>
      <c r="J487" s="61"/>
      <c r="K487" s="67"/>
      <c r="L487" s="64"/>
    </row>
    <row r="488" spans="1:12" ht="18.5" customHeight="1" x14ac:dyDescent="0.2">
      <c r="A488" s="60"/>
      <c r="B488" s="61"/>
      <c r="C488" s="139"/>
      <c r="D488" s="63"/>
      <c r="E488" s="63"/>
      <c r="F488" s="64"/>
      <c r="G488" s="65"/>
      <c r="H488" s="65"/>
      <c r="I488" s="61"/>
      <c r="J488" s="61"/>
      <c r="K488" s="67"/>
      <c r="L488" s="64"/>
    </row>
    <row r="489" spans="1:12" ht="18.5" customHeight="1" x14ac:dyDescent="0.2">
      <c r="A489" s="60"/>
      <c r="B489" s="61"/>
      <c r="C489" s="139"/>
      <c r="D489" s="63"/>
      <c r="E489" s="63"/>
      <c r="F489" s="64"/>
      <c r="G489" s="65"/>
      <c r="H489" s="65"/>
      <c r="I489" s="61"/>
      <c r="J489" s="61"/>
      <c r="K489" s="67"/>
      <c r="L489" s="64"/>
    </row>
    <row r="490" spans="1:12" ht="18.5" customHeight="1" x14ac:dyDescent="0.2">
      <c r="A490" s="60"/>
      <c r="B490" s="61"/>
      <c r="C490" s="139"/>
      <c r="D490" s="63"/>
      <c r="E490" s="63"/>
      <c r="F490" s="64"/>
      <c r="G490" s="65"/>
      <c r="H490" s="65"/>
      <c r="I490" s="61"/>
      <c r="J490" s="61"/>
      <c r="K490" s="67"/>
      <c r="L490" s="64"/>
    </row>
    <row r="491" spans="1:12" ht="18.5" customHeight="1" x14ac:dyDescent="0.2">
      <c r="A491" s="60"/>
      <c r="B491" s="61"/>
      <c r="C491" s="139"/>
      <c r="D491" s="63"/>
      <c r="E491" s="63"/>
      <c r="F491" s="64"/>
      <c r="G491" s="65"/>
      <c r="H491" s="65"/>
      <c r="I491" s="61"/>
      <c r="J491" s="61"/>
      <c r="K491" s="67"/>
      <c r="L491" s="64"/>
    </row>
    <row r="492" spans="1:12" ht="18.5" customHeight="1" x14ac:dyDescent="0.2">
      <c r="A492" s="60"/>
      <c r="B492" s="61"/>
      <c r="C492" s="139"/>
      <c r="D492" s="63"/>
      <c r="E492" s="63"/>
      <c r="F492" s="64"/>
      <c r="G492" s="65"/>
      <c r="H492" s="65"/>
      <c r="I492" s="61"/>
      <c r="J492" s="61"/>
      <c r="K492" s="67"/>
      <c r="L492" s="64"/>
    </row>
    <row r="493" spans="1:12" ht="18.5" customHeight="1" x14ac:dyDescent="0.2">
      <c r="A493" s="60"/>
      <c r="B493" s="61"/>
      <c r="C493" s="139"/>
      <c r="D493" s="63"/>
      <c r="E493" s="63"/>
      <c r="F493" s="64"/>
      <c r="G493" s="65"/>
      <c r="H493" s="65"/>
      <c r="I493" s="61"/>
      <c r="J493" s="61"/>
      <c r="K493" s="67"/>
      <c r="L493" s="64"/>
    </row>
    <row r="494" spans="1:12" ht="18.5" customHeight="1" x14ac:dyDescent="0.2">
      <c r="A494" s="60"/>
      <c r="B494" s="61"/>
      <c r="C494" s="139"/>
      <c r="D494" s="63"/>
      <c r="E494" s="63"/>
      <c r="F494" s="64"/>
      <c r="G494" s="65"/>
      <c r="H494" s="65"/>
      <c r="I494" s="61"/>
      <c r="J494" s="61"/>
      <c r="K494" s="67"/>
      <c r="L494" s="64"/>
    </row>
    <row r="495" spans="1:12" ht="18.5" customHeight="1" x14ac:dyDescent="0.2">
      <c r="A495" s="60"/>
      <c r="B495" s="61"/>
      <c r="C495" s="139"/>
      <c r="D495" s="63"/>
      <c r="E495" s="63"/>
      <c r="F495" s="64"/>
      <c r="G495" s="65"/>
      <c r="H495" s="65"/>
      <c r="I495" s="61"/>
      <c r="J495" s="61"/>
      <c r="K495" s="67"/>
      <c r="L495" s="64"/>
    </row>
    <row r="496" spans="1:12" ht="18.5" customHeight="1" x14ac:dyDescent="0.2">
      <c r="A496" s="60"/>
      <c r="B496" s="61"/>
      <c r="C496" s="139"/>
      <c r="D496" s="63"/>
      <c r="E496" s="63"/>
      <c r="F496" s="64"/>
      <c r="G496" s="65"/>
      <c r="H496" s="65"/>
      <c r="I496" s="61"/>
      <c r="J496" s="61"/>
      <c r="K496" s="67"/>
      <c r="L496" s="64"/>
    </row>
    <row r="497" spans="1:12" ht="18.5" customHeight="1" x14ac:dyDescent="0.2">
      <c r="A497" s="60"/>
      <c r="B497" s="61"/>
      <c r="C497" s="139"/>
      <c r="D497" s="63"/>
      <c r="E497" s="63"/>
      <c r="F497" s="64"/>
      <c r="G497" s="65"/>
      <c r="H497" s="65"/>
      <c r="I497" s="61"/>
      <c r="J497" s="61"/>
      <c r="K497" s="67"/>
      <c r="L497" s="64"/>
    </row>
    <row r="498" spans="1:12" ht="18.5" customHeight="1" x14ac:dyDescent="0.2">
      <c r="A498" s="60"/>
      <c r="B498" s="61"/>
      <c r="C498" s="139"/>
      <c r="D498" s="63"/>
      <c r="E498" s="63"/>
      <c r="F498" s="64"/>
      <c r="G498" s="65"/>
      <c r="H498" s="65"/>
      <c r="I498" s="61"/>
      <c r="J498" s="61"/>
      <c r="K498" s="67"/>
      <c r="L498" s="64"/>
    </row>
    <row r="499" spans="1:12" ht="18.5" customHeight="1" x14ac:dyDescent="0.2">
      <c r="A499" s="60"/>
      <c r="B499" s="61"/>
      <c r="C499" s="139"/>
      <c r="D499" s="63"/>
      <c r="E499" s="63"/>
      <c r="F499" s="64"/>
      <c r="G499" s="65"/>
      <c r="H499" s="65"/>
      <c r="I499" s="61"/>
      <c r="J499" s="61"/>
      <c r="K499" s="67"/>
      <c r="L499" s="64"/>
    </row>
    <row r="500" spans="1:12" ht="18.5" customHeight="1" x14ac:dyDescent="0.2">
      <c r="A500" s="60"/>
      <c r="B500" s="61"/>
      <c r="C500" s="139"/>
      <c r="D500" s="63"/>
      <c r="E500" s="63"/>
      <c r="F500" s="64"/>
      <c r="G500" s="65"/>
      <c r="H500" s="65"/>
      <c r="I500" s="61"/>
      <c r="J500" s="61"/>
      <c r="K500" s="67"/>
      <c r="L500" s="64"/>
    </row>
    <row r="501" spans="1:12" ht="18.5" customHeight="1" x14ac:dyDescent="0.2">
      <c r="A501" s="60"/>
      <c r="B501" s="61"/>
      <c r="C501" s="139"/>
      <c r="D501" s="63"/>
      <c r="E501" s="63"/>
      <c r="F501" s="64"/>
      <c r="G501" s="65"/>
      <c r="H501" s="65"/>
      <c r="I501" s="61"/>
      <c r="J501" s="61"/>
      <c r="K501" s="67"/>
      <c r="L501" s="64"/>
    </row>
    <row r="502" spans="1:12" ht="18.5" customHeight="1" x14ac:dyDescent="0.2">
      <c r="A502" s="60"/>
      <c r="B502" s="61"/>
      <c r="C502" s="139"/>
      <c r="D502" s="63"/>
      <c r="E502" s="63"/>
      <c r="F502" s="64"/>
      <c r="G502" s="65"/>
      <c r="H502" s="65"/>
      <c r="I502" s="61"/>
      <c r="J502" s="61"/>
      <c r="K502" s="67"/>
      <c r="L502" s="64"/>
    </row>
    <row r="503" spans="1:12" ht="18.5" customHeight="1" x14ac:dyDescent="0.2">
      <c r="A503" s="60"/>
      <c r="B503" s="61"/>
      <c r="C503" s="139"/>
      <c r="D503" s="63"/>
      <c r="E503" s="63"/>
      <c r="F503" s="64"/>
      <c r="G503" s="65"/>
      <c r="H503" s="65"/>
      <c r="I503" s="61"/>
      <c r="J503" s="61"/>
      <c r="K503" s="67"/>
      <c r="L503" s="64"/>
    </row>
    <row r="504" spans="1:12" ht="18.5" customHeight="1" x14ac:dyDescent="0.2">
      <c r="A504" s="60"/>
      <c r="B504" s="61"/>
      <c r="C504" s="139"/>
      <c r="D504" s="63"/>
      <c r="E504" s="63"/>
      <c r="F504" s="64"/>
      <c r="G504" s="65"/>
      <c r="H504" s="65"/>
      <c r="I504" s="61"/>
      <c r="J504" s="61"/>
      <c r="K504" s="67"/>
      <c r="L504" s="64"/>
    </row>
    <row r="505" spans="1:12" ht="18.5" customHeight="1" x14ac:dyDescent="0.2">
      <c r="A505" s="60"/>
      <c r="B505" s="61"/>
      <c r="C505" s="139"/>
      <c r="D505" s="63"/>
      <c r="E505" s="63"/>
      <c r="F505" s="64"/>
      <c r="G505" s="65"/>
      <c r="H505" s="65"/>
      <c r="I505" s="61"/>
      <c r="J505" s="61"/>
      <c r="K505" s="67"/>
      <c r="L505" s="64"/>
    </row>
    <row r="506" spans="1:12" ht="18.5" customHeight="1" x14ac:dyDescent="0.2">
      <c r="A506" s="60"/>
      <c r="B506" s="61"/>
      <c r="C506" s="139"/>
      <c r="D506" s="63"/>
      <c r="E506" s="63"/>
      <c r="F506" s="64"/>
      <c r="G506" s="65"/>
      <c r="H506" s="65"/>
      <c r="I506" s="61"/>
      <c r="J506" s="61"/>
      <c r="K506" s="67"/>
      <c r="L506" s="64"/>
    </row>
    <row r="507" spans="1:12" ht="18.5" customHeight="1" x14ac:dyDescent="0.2">
      <c r="A507" s="60"/>
      <c r="B507" s="61"/>
      <c r="C507" s="139"/>
      <c r="D507" s="63"/>
      <c r="E507" s="63"/>
      <c r="F507" s="64"/>
      <c r="G507" s="65"/>
      <c r="H507" s="65"/>
      <c r="I507" s="61"/>
      <c r="J507" s="61"/>
      <c r="K507" s="67"/>
      <c r="L507" s="64"/>
    </row>
    <row r="508" spans="1:12" ht="18.5" customHeight="1" x14ac:dyDescent="0.2">
      <c r="A508" s="60"/>
      <c r="B508" s="61"/>
      <c r="C508" s="139"/>
      <c r="D508" s="63"/>
      <c r="E508" s="63"/>
      <c r="F508" s="64"/>
      <c r="G508" s="65"/>
      <c r="H508" s="65"/>
      <c r="I508" s="61"/>
      <c r="J508" s="61"/>
      <c r="K508" s="67"/>
      <c r="L508" s="64"/>
    </row>
    <row r="509" spans="1:12" ht="18.5" customHeight="1" x14ac:dyDescent="0.2">
      <c r="A509" s="60"/>
      <c r="B509" s="61"/>
      <c r="C509" s="139"/>
      <c r="D509" s="63"/>
      <c r="E509" s="63"/>
      <c r="F509" s="64"/>
      <c r="G509" s="65"/>
      <c r="H509" s="65"/>
      <c r="I509" s="61"/>
      <c r="J509" s="61"/>
      <c r="K509" s="67"/>
      <c r="L509" s="64"/>
    </row>
    <row r="510" spans="1:12" ht="18.5" customHeight="1" x14ac:dyDescent="0.2">
      <c r="A510" s="60"/>
      <c r="B510" s="61"/>
      <c r="C510" s="139"/>
      <c r="D510" s="63"/>
      <c r="E510" s="63"/>
      <c r="F510" s="64"/>
      <c r="G510" s="65"/>
      <c r="H510" s="65"/>
      <c r="I510" s="61"/>
      <c r="J510" s="61"/>
      <c r="K510" s="67"/>
      <c r="L510" s="64"/>
    </row>
    <row r="511" spans="1:12" ht="18.5" customHeight="1" x14ac:dyDescent="0.2">
      <c r="A511" s="60"/>
      <c r="B511" s="61"/>
      <c r="C511" s="139"/>
      <c r="D511" s="63"/>
      <c r="E511" s="63"/>
      <c r="F511" s="64"/>
      <c r="G511" s="65"/>
      <c r="H511" s="65"/>
      <c r="I511" s="61"/>
      <c r="J511" s="61"/>
      <c r="K511" s="67"/>
      <c r="L511" s="64"/>
    </row>
    <row r="512" spans="1:12" ht="18.5" customHeight="1" x14ac:dyDescent="0.2">
      <c r="A512" s="60"/>
      <c r="B512" s="61"/>
      <c r="C512" s="139"/>
      <c r="D512" s="63"/>
      <c r="E512" s="63"/>
      <c r="F512" s="64"/>
      <c r="G512" s="65"/>
      <c r="H512" s="65"/>
      <c r="I512" s="61"/>
      <c r="J512" s="61"/>
      <c r="K512" s="67"/>
      <c r="L512" s="64"/>
    </row>
    <row r="513" spans="1:12" ht="18.5" customHeight="1" x14ac:dyDescent="0.2">
      <c r="A513" s="60"/>
      <c r="B513" s="61"/>
      <c r="C513" s="139"/>
      <c r="D513" s="63"/>
      <c r="E513" s="63"/>
      <c r="F513" s="64"/>
      <c r="G513" s="65"/>
      <c r="H513" s="65"/>
      <c r="I513" s="61"/>
      <c r="J513" s="61"/>
      <c r="K513" s="67"/>
      <c r="L513" s="64"/>
    </row>
    <row r="514" spans="1:12" ht="18.5" customHeight="1" x14ac:dyDescent="0.2">
      <c r="A514" s="60"/>
      <c r="B514" s="61"/>
      <c r="C514" s="139"/>
      <c r="D514" s="63"/>
      <c r="E514" s="63"/>
      <c r="F514" s="64"/>
      <c r="G514" s="65"/>
      <c r="H514" s="65"/>
      <c r="I514" s="61"/>
      <c r="J514" s="61"/>
      <c r="K514" s="67"/>
      <c r="L514" s="64"/>
    </row>
    <row r="515" spans="1:12" ht="18.5" customHeight="1" x14ac:dyDescent="0.2">
      <c r="A515" s="60"/>
      <c r="B515" s="61"/>
      <c r="C515" s="139"/>
      <c r="D515" s="63"/>
      <c r="E515" s="63"/>
      <c r="F515" s="64"/>
      <c r="G515" s="65"/>
      <c r="H515" s="65"/>
      <c r="I515" s="61"/>
      <c r="J515" s="61"/>
      <c r="K515" s="67"/>
      <c r="L515" s="64"/>
    </row>
    <row r="516" spans="1:12" ht="18.5" customHeight="1" x14ac:dyDescent="0.2">
      <c r="A516" s="60"/>
      <c r="B516" s="61"/>
      <c r="C516" s="139"/>
      <c r="D516" s="63"/>
      <c r="E516" s="63"/>
      <c r="F516" s="64"/>
      <c r="G516" s="65"/>
      <c r="H516" s="65"/>
      <c r="I516" s="61"/>
      <c r="J516" s="61"/>
      <c r="K516" s="67"/>
      <c r="L516" s="64"/>
    </row>
    <row r="517" spans="1:12" ht="18.5" customHeight="1" x14ac:dyDescent="0.2">
      <c r="A517" s="60"/>
      <c r="B517" s="61"/>
      <c r="C517" s="139"/>
      <c r="D517" s="63"/>
      <c r="E517" s="63"/>
      <c r="F517" s="64"/>
      <c r="G517" s="65"/>
      <c r="H517" s="65"/>
      <c r="I517" s="61"/>
      <c r="J517" s="61"/>
      <c r="K517" s="67"/>
      <c r="L517" s="64"/>
    </row>
    <row r="518" spans="1:12" ht="18.5" customHeight="1" x14ac:dyDescent="0.2">
      <c r="A518" s="60"/>
      <c r="B518" s="61"/>
      <c r="C518" s="139"/>
      <c r="D518" s="63"/>
      <c r="E518" s="63"/>
      <c r="F518" s="64"/>
      <c r="G518" s="65"/>
      <c r="H518" s="65"/>
      <c r="I518" s="61"/>
      <c r="J518" s="61"/>
      <c r="K518" s="67"/>
      <c r="L518" s="64"/>
    </row>
    <row r="519" spans="1:12" ht="18.5" customHeight="1" x14ac:dyDescent="0.2">
      <c r="A519" s="60"/>
      <c r="B519" s="61"/>
      <c r="C519" s="139"/>
      <c r="D519" s="63"/>
      <c r="E519" s="63"/>
      <c r="F519" s="64"/>
      <c r="G519" s="65"/>
      <c r="H519" s="65"/>
      <c r="I519" s="61"/>
      <c r="J519" s="61"/>
      <c r="K519" s="67"/>
      <c r="L519" s="64"/>
    </row>
    <row r="520" spans="1:12" ht="18.5" customHeight="1" x14ac:dyDescent="0.2">
      <c r="A520" s="60"/>
      <c r="B520" s="61"/>
      <c r="C520" s="139"/>
      <c r="D520" s="63"/>
      <c r="E520" s="63"/>
      <c r="F520" s="64"/>
      <c r="G520" s="65"/>
      <c r="H520" s="65"/>
      <c r="I520" s="61"/>
      <c r="J520" s="61"/>
      <c r="K520" s="67"/>
      <c r="L520" s="64"/>
    </row>
    <row r="521" spans="1:12" ht="18.5" customHeight="1" x14ac:dyDescent="0.2">
      <c r="A521" s="60"/>
      <c r="B521" s="61"/>
      <c r="C521" s="139"/>
      <c r="D521" s="63"/>
      <c r="E521" s="63"/>
      <c r="F521" s="64"/>
      <c r="G521" s="65"/>
      <c r="H521" s="65"/>
      <c r="I521" s="61"/>
      <c r="J521" s="61"/>
      <c r="K521" s="67"/>
      <c r="L521" s="64"/>
    </row>
    <row r="522" spans="1:12" ht="18.5" customHeight="1" x14ac:dyDescent="0.2">
      <c r="A522" s="60"/>
      <c r="B522" s="61"/>
      <c r="C522" s="139"/>
      <c r="D522" s="63"/>
      <c r="E522" s="63"/>
      <c r="F522" s="64"/>
      <c r="G522" s="65"/>
      <c r="H522" s="65"/>
      <c r="I522" s="61"/>
      <c r="J522" s="61"/>
      <c r="K522" s="67"/>
      <c r="L522" s="64"/>
    </row>
    <row r="523" spans="1:12" ht="18.5" customHeight="1" x14ac:dyDescent="0.2">
      <c r="A523" s="60"/>
      <c r="B523" s="61"/>
      <c r="C523" s="139"/>
      <c r="D523" s="63"/>
      <c r="E523" s="63"/>
      <c r="F523" s="64"/>
      <c r="G523" s="65"/>
      <c r="H523" s="65"/>
      <c r="I523" s="66"/>
      <c r="J523" s="61"/>
      <c r="K523" s="67"/>
      <c r="L523" s="64"/>
    </row>
    <row r="524" spans="1:12" ht="18.5" customHeight="1" x14ac:dyDescent="0.2">
      <c r="A524" s="60"/>
      <c r="B524" s="61"/>
      <c r="C524" s="139"/>
      <c r="D524" s="63"/>
      <c r="E524" s="63"/>
      <c r="F524" s="64"/>
      <c r="G524" s="65"/>
      <c r="H524" s="65"/>
      <c r="I524" s="66"/>
      <c r="J524" s="61"/>
      <c r="K524" s="67"/>
      <c r="L524" s="64"/>
    </row>
    <row r="525" spans="1:12" ht="18.5" customHeight="1" x14ac:dyDescent="0.2">
      <c r="A525" s="60"/>
      <c r="B525" s="61"/>
      <c r="C525" s="139"/>
      <c r="D525" s="63"/>
      <c r="E525" s="63"/>
      <c r="F525" s="64"/>
      <c r="G525" s="65"/>
      <c r="H525" s="65"/>
      <c r="I525" s="66"/>
      <c r="J525" s="61"/>
      <c r="K525" s="67"/>
      <c r="L525" s="64"/>
    </row>
    <row r="526" spans="1:12" ht="18.5" customHeight="1" x14ac:dyDescent="0.2">
      <c r="A526" s="60"/>
      <c r="B526" s="61"/>
      <c r="C526" s="139"/>
      <c r="D526" s="63"/>
      <c r="E526" s="63"/>
      <c r="F526" s="64"/>
      <c r="G526" s="65"/>
      <c r="H526" s="65"/>
      <c r="I526" s="61"/>
      <c r="J526" s="61"/>
      <c r="K526" s="67"/>
      <c r="L526" s="64"/>
    </row>
    <row r="527" spans="1:12" ht="18.5" customHeight="1" x14ac:dyDescent="0.2">
      <c r="A527" s="60"/>
      <c r="B527" s="61"/>
      <c r="C527" s="139"/>
      <c r="D527" s="63"/>
      <c r="E527" s="63"/>
      <c r="F527" s="64"/>
      <c r="G527" s="65"/>
      <c r="H527" s="65"/>
      <c r="I527" s="61"/>
      <c r="J527" s="61"/>
      <c r="K527" s="67"/>
      <c r="L527" s="64"/>
    </row>
    <row r="528" spans="1:12" ht="18.5" customHeight="1" x14ac:dyDescent="0.2">
      <c r="A528" s="60"/>
      <c r="B528" s="61"/>
      <c r="C528" s="139"/>
      <c r="D528" s="63"/>
      <c r="E528" s="63"/>
      <c r="F528" s="64"/>
      <c r="G528" s="65"/>
      <c r="H528" s="65"/>
      <c r="I528" s="61"/>
      <c r="J528" s="61"/>
      <c r="K528" s="67"/>
      <c r="L528" s="64"/>
    </row>
    <row r="529" spans="1:12" ht="18.5" customHeight="1" x14ac:dyDescent="0.2">
      <c r="A529" s="60"/>
      <c r="B529" s="61"/>
      <c r="C529" s="139"/>
      <c r="D529" s="63"/>
      <c r="E529" s="63"/>
      <c r="F529" s="64"/>
      <c r="G529" s="65"/>
      <c r="H529" s="65"/>
      <c r="I529" s="61"/>
      <c r="J529" s="61"/>
      <c r="K529" s="67"/>
      <c r="L529" s="64"/>
    </row>
    <row r="530" spans="1:12" ht="18.5" customHeight="1" x14ac:dyDescent="0.2">
      <c r="A530" s="60"/>
      <c r="B530" s="61"/>
      <c r="C530" s="139"/>
      <c r="D530" s="63"/>
      <c r="E530" s="63"/>
      <c r="F530" s="64"/>
      <c r="G530" s="65"/>
      <c r="H530" s="65"/>
      <c r="I530" s="61"/>
      <c r="J530" s="61"/>
      <c r="K530" s="67"/>
      <c r="L530" s="64"/>
    </row>
    <row r="531" spans="1:12" ht="18.5" customHeight="1" x14ac:dyDescent="0.2">
      <c r="A531" s="60"/>
      <c r="B531" s="61"/>
      <c r="C531" s="139"/>
      <c r="D531" s="63"/>
      <c r="E531" s="63"/>
      <c r="F531" s="64"/>
      <c r="G531" s="65"/>
      <c r="H531" s="65"/>
      <c r="I531" s="61"/>
      <c r="J531" s="61"/>
      <c r="K531" s="67"/>
      <c r="L531" s="64"/>
    </row>
    <row r="532" spans="1:12" ht="18.5" customHeight="1" x14ac:dyDescent="0.2">
      <c r="A532" s="60"/>
      <c r="B532" s="61"/>
      <c r="C532" s="139"/>
      <c r="D532" s="63"/>
      <c r="E532" s="63"/>
      <c r="F532" s="64"/>
      <c r="G532" s="65"/>
      <c r="H532" s="65"/>
      <c r="I532" s="61"/>
      <c r="J532" s="61"/>
      <c r="K532" s="67"/>
      <c r="L532" s="64"/>
    </row>
    <row r="533" spans="1:12" ht="18.5" customHeight="1" x14ac:dyDescent="0.2">
      <c r="A533" s="60"/>
      <c r="B533" s="61"/>
      <c r="C533" s="139"/>
      <c r="D533" s="63"/>
      <c r="E533" s="63"/>
      <c r="F533" s="64"/>
      <c r="G533" s="65"/>
      <c r="H533" s="65"/>
      <c r="I533" s="61"/>
      <c r="J533" s="61"/>
      <c r="K533" s="67"/>
      <c r="L533" s="64"/>
    </row>
    <row r="534" spans="1:12" ht="18.5" customHeight="1" x14ac:dyDescent="0.2">
      <c r="A534" s="60"/>
      <c r="B534" s="61"/>
      <c r="C534" s="139"/>
      <c r="D534" s="63"/>
      <c r="E534" s="63"/>
      <c r="F534" s="64"/>
      <c r="G534" s="65"/>
      <c r="H534" s="65"/>
      <c r="I534" s="61"/>
      <c r="J534" s="61"/>
      <c r="K534" s="67"/>
      <c r="L534" s="64"/>
    </row>
    <row r="535" spans="1:12" ht="18.5" customHeight="1" x14ac:dyDescent="0.2">
      <c r="A535" s="60"/>
      <c r="B535" s="61"/>
      <c r="C535" s="139"/>
      <c r="D535" s="63"/>
      <c r="E535" s="63"/>
      <c r="F535" s="64"/>
      <c r="G535" s="65"/>
      <c r="H535" s="65"/>
      <c r="I535" s="61"/>
      <c r="J535" s="61"/>
      <c r="K535" s="67"/>
      <c r="L535" s="64"/>
    </row>
    <row r="536" spans="1:12" ht="18.5" customHeight="1" x14ac:dyDescent="0.2">
      <c r="A536" s="60"/>
      <c r="B536" s="61"/>
      <c r="C536" s="139"/>
      <c r="D536" s="63"/>
      <c r="E536" s="63"/>
      <c r="F536" s="64"/>
      <c r="G536" s="65"/>
      <c r="H536" s="65"/>
      <c r="I536" s="61"/>
      <c r="J536" s="61"/>
      <c r="K536" s="67"/>
      <c r="L536" s="64"/>
    </row>
    <row r="537" spans="1:12" ht="18.5" customHeight="1" x14ac:dyDescent="0.2">
      <c r="A537" s="60"/>
      <c r="B537" s="61"/>
      <c r="C537" s="139"/>
      <c r="D537" s="63"/>
      <c r="E537" s="63"/>
      <c r="F537" s="64"/>
      <c r="G537" s="65"/>
      <c r="H537" s="65"/>
      <c r="I537" s="61"/>
      <c r="J537" s="61"/>
      <c r="K537" s="67"/>
      <c r="L537" s="64"/>
    </row>
    <row r="538" spans="1:12" ht="18.5" customHeight="1" x14ac:dyDescent="0.2">
      <c r="A538" s="60"/>
      <c r="B538" s="61"/>
      <c r="C538" s="139"/>
      <c r="D538" s="63"/>
      <c r="E538" s="63"/>
      <c r="F538" s="64"/>
      <c r="G538" s="65"/>
      <c r="H538" s="65"/>
      <c r="I538" s="61"/>
      <c r="J538" s="61"/>
      <c r="K538" s="67"/>
      <c r="L538" s="64"/>
    </row>
    <row r="539" spans="1:12" ht="18.5" customHeight="1" x14ac:dyDescent="0.2">
      <c r="A539" s="60"/>
      <c r="B539" s="61"/>
      <c r="C539" s="139"/>
      <c r="D539" s="63"/>
      <c r="E539" s="63"/>
      <c r="F539" s="64"/>
      <c r="G539" s="65"/>
      <c r="H539" s="65"/>
      <c r="I539" s="61"/>
      <c r="J539" s="61"/>
      <c r="K539" s="67"/>
      <c r="L539" s="64"/>
    </row>
    <row r="540" spans="1:12" ht="18.5" customHeight="1" x14ac:dyDescent="0.2">
      <c r="A540" s="60"/>
      <c r="B540" s="61"/>
      <c r="C540" s="139"/>
      <c r="D540" s="63"/>
      <c r="E540" s="63"/>
      <c r="F540" s="64"/>
      <c r="G540" s="65"/>
      <c r="H540" s="65"/>
      <c r="I540" s="61"/>
      <c r="J540" s="61"/>
      <c r="K540" s="67"/>
      <c r="L540" s="64"/>
    </row>
    <row r="541" spans="1:12" ht="18.5" customHeight="1" x14ac:dyDescent="0.2">
      <c r="A541" s="60"/>
      <c r="B541" s="61"/>
      <c r="C541" s="139"/>
      <c r="D541" s="63"/>
      <c r="E541" s="63"/>
      <c r="F541" s="64"/>
      <c r="G541" s="65"/>
      <c r="H541" s="65"/>
      <c r="I541" s="61"/>
      <c r="J541" s="61"/>
      <c r="K541" s="67"/>
      <c r="L541" s="64"/>
    </row>
    <row r="542" spans="1:12" ht="18.5" customHeight="1" x14ac:dyDescent="0.2">
      <c r="A542" s="60"/>
      <c r="B542" s="61"/>
      <c r="C542" s="139"/>
      <c r="D542" s="63"/>
      <c r="E542" s="63"/>
      <c r="F542" s="64"/>
      <c r="G542" s="65"/>
      <c r="H542" s="65"/>
      <c r="I542" s="61"/>
      <c r="J542" s="61"/>
      <c r="K542" s="67"/>
      <c r="L542" s="64"/>
    </row>
    <row r="543" spans="1:12" ht="18.5" customHeight="1" x14ac:dyDescent="0.2">
      <c r="A543" s="60"/>
      <c r="B543" s="61"/>
      <c r="C543" s="139"/>
      <c r="D543" s="63"/>
      <c r="E543" s="63"/>
      <c r="F543" s="64"/>
      <c r="G543" s="65"/>
      <c r="H543" s="65"/>
      <c r="I543" s="61"/>
      <c r="J543" s="61"/>
      <c r="K543" s="67"/>
      <c r="L543" s="64"/>
    </row>
    <row r="544" spans="1:12" ht="18.5" customHeight="1" x14ac:dyDescent="0.2">
      <c r="A544" s="60"/>
      <c r="B544" s="61"/>
      <c r="C544" s="139"/>
      <c r="D544" s="63"/>
      <c r="E544" s="63"/>
      <c r="F544" s="64"/>
      <c r="G544" s="65"/>
      <c r="H544" s="65"/>
      <c r="I544" s="61"/>
      <c r="J544" s="61"/>
      <c r="K544" s="67"/>
      <c r="L544" s="64"/>
    </row>
    <row r="545" spans="1:12" ht="18.5" customHeight="1" x14ac:dyDescent="0.2">
      <c r="A545" s="60"/>
      <c r="B545" s="61"/>
      <c r="C545" s="139"/>
      <c r="D545" s="63"/>
      <c r="E545" s="63"/>
      <c r="F545" s="64"/>
      <c r="G545" s="65"/>
      <c r="H545" s="65"/>
      <c r="I545" s="61"/>
      <c r="J545" s="61"/>
      <c r="K545" s="67"/>
      <c r="L545" s="64"/>
    </row>
    <row r="546" spans="1:12" ht="18.5" customHeight="1" x14ac:dyDescent="0.2">
      <c r="A546" s="60"/>
      <c r="B546" s="61"/>
      <c r="C546" s="139"/>
      <c r="D546" s="63"/>
      <c r="E546" s="63"/>
      <c r="F546" s="64"/>
      <c r="G546" s="65"/>
      <c r="H546" s="65"/>
      <c r="I546" s="61"/>
      <c r="J546" s="61"/>
      <c r="K546" s="67"/>
      <c r="L546" s="64"/>
    </row>
    <row r="547" spans="1:12" ht="18.5" customHeight="1" x14ac:dyDescent="0.2">
      <c r="A547" s="60"/>
      <c r="B547" s="61"/>
      <c r="C547" s="139"/>
      <c r="D547" s="63"/>
      <c r="E547" s="63"/>
      <c r="F547" s="64"/>
      <c r="G547" s="65"/>
      <c r="H547" s="65"/>
      <c r="I547" s="61"/>
      <c r="J547" s="61"/>
      <c r="K547" s="67"/>
      <c r="L547" s="64"/>
    </row>
    <row r="548" spans="1:12" ht="18.5" customHeight="1" x14ac:dyDescent="0.2">
      <c r="A548" s="60"/>
      <c r="B548" s="61"/>
      <c r="C548" s="139"/>
      <c r="D548" s="63"/>
      <c r="E548" s="63"/>
      <c r="F548" s="64"/>
      <c r="G548" s="65"/>
      <c r="H548" s="65"/>
      <c r="I548" s="61"/>
      <c r="J548" s="61"/>
      <c r="K548" s="67"/>
      <c r="L548" s="64"/>
    </row>
    <row r="549" spans="1:12" ht="18.5" customHeight="1" x14ac:dyDescent="0.2">
      <c r="A549" s="60"/>
      <c r="B549" s="61"/>
      <c r="C549" s="139"/>
      <c r="D549" s="63"/>
      <c r="E549" s="63"/>
      <c r="F549" s="64"/>
      <c r="G549" s="65"/>
      <c r="H549" s="65"/>
      <c r="I549" s="61"/>
      <c r="J549" s="61"/>
      <c r="K549" s="67"/>
      <c r="L549" s="64"/>
    </row>
    <row r="550" spans="1:12" ht="18.5" customHeight="1" x14ac:dyDescent="0.2">
      <c r="A550" s="60"/>
      <c r="B550" s="61"/>
      <c r="C550" s="139"/>
      <c r="D550" s="63"/>
      <c r="E550" s="63"/>
      <c r="F550" s="64"/>
      <c r="G550" s="65"/>
      <c r="H550" s="65"/>
      <c r="I550" s="61"/>
      <c r="J550" s="61"/>
      <c r="K550" s="67"/>
      <c r="L550" s="64"/>
    </row>
    <row r="551" spans="1:12" ht="18.5" customHeight="1" x14ac:dyDescent="0.2">
      <c r="A551" s="60"/>
      <c r="B551" s="61"/>
      <c r="C551" s="139"/>
      <c r="D551" s="63"/>
      <c r="E551" s="63"/>
      <c r="F551" s="64"/>
      <c r="G551" s="65"/>
      <c r="H551" s="65"/>
      <c r="I551" s="61"/>
      <c r="J551" s="61"/>
      <c r="K551" s="67"/>
      <c r="L551" s="64"/>
    </row>
    <row r="552" spans="1:12" ht="18.5" customHeight="1" x14ac:dyDescent="0.2">
      <c r="A552" s="60"/>
      <c r="B552" s="61"/>
      <c r="C552" s="139"/>
      <c r="D552" s="63"/>
      <c r="E552" s="63"/>
      <c r="F552" s="64"/>
      <c r="G552" s="65"/>
      <c r="H552" s="65"/>
      <c r="I552" s="61"/>
      <c r="J552" s="61"/>
      <c r="K552" s="67"/>
      <c r="L552" s="64"/>
    </row>
    <row r="553" spans="1:12" ht="18.5" customHeight="1" x14ac:dyDescent="0.2">
      <c r="A553" s="60"/>
      <c r="B553" s="61"/>
      <c r="C553" s="139"/>
      <c r="D553" s="63"/>
      <c r="E553" s="63"/>
      <c r="F553" s="64"/>
      <c r="G553" s="65"/>
      <c r="H553" s="65"/>
      <c r="I553" s="61"/>
      <c r="J553" s="61"/>
      <c r="K553" s="67"/>
      <c r="L553" s="64"/>
    </row>
    <row r="554" spans="1:12" ht="18.5" customHeight="1" x14ac:dyDescent="0.2">
      <c r="A554" s="60"/>
      <c r="B554" s="61"/>
      <c r="C554" s="139"/>
      <c r="D554" s="63"/>
      <c r="E554" s="63"/>
      <c r="F554" s="64"/>
      <c r="G554" s="65"/>
      <c r="H554" s="65"/>
      <c r="I554" s="61"/>
      <c r="J554" s="61"/>
      <c r="K554" s="67"/>
      <c r="L554" s="64"/>
    </row>
    <row r="555" spans="1:12" ht="18.5" customHeight="1" x14ac:dyDescent="0.2">
      <c r="A555" s="60"/>
      <c r="B555" s="61"/>
      <c r="C555" s="139"/>
      <c r="D555" s="63"/>
      <c r="E555" s="63"/>
      <c r="F555" s="64"/>
      <c r="G555" s="65"/>
      <c r="H555" s="65"/>
      <c r="I555" s="61"/>
      <c r="J555" s="61"/>
      <c r="K555" s="67"/>
      <c r="L555" s="64"/>
    </row>
    <row r="556" spans="1:12" ht="18.5" customHeight="1" x14ac:dyDescent="0.2">
      <c r="A556" s="60"/>
      <c r="B556" s="61"/>
      <c r="C556" s="139"/>
      <c r="D556" s="63"/>
      <c r="E556" s="63"/>
      <c r="F556" s="64"/>
      <c r="G556" s="65"/>
      <c r="H556" s="65"/>
      <c r="I556" s="61"/>
      <c r="J556" s="61"/>
      <c r="K556" s="67"/>
      <c r="L556" s="64"/>
    </row>
    <row r="557" spans="1:12" ht="18.5" customHeight="1" x14ac:dyDescent="0.2">
      <c r="A557" s="60"/>
      <c r="B557" s="61"/>
      <c r="C557" s="139"/>
      <c r="D557" s="63"/>
      <c r="E557" s="63"/>
      <c r="F557" s="64"/>
      <c r="G557" s="65"/>
      <c r="H557" s="65"/>
      <c r="I557" s="61"/>
      <c r="J557" s="61"/>
      <c r="K557" s="67"/>
      <c r="L557" s="64"/>
    </row>
    <row r="558" spans="1:12" ht="18.5" customHeight="1" x14ac:dyDescent="0.2">
      <c r="A558" s="60"/>
      <c r="B558" s="61"/>
      <c r="C558" s="139"/>
      <c r="D558" s="63"/>
      <c r="E558" s="63"/>
      <c r="F558" s="64"/>
      <c r="G558" s="65"/>
      <c r="H558" s="65"/>
      <c r="I558" s="61"/>
      <c r="J558" s="61"/>
      <c r="K558" s="67"/>
      <c r="L558" s="64"/>
    </row>
    <row r="559" spans="1:12" ht="18.5" customHeight="1" x14ac:dyDescent="0.2">
      <c r="A559" s="60"/>
      <c r="B559" s="61"/>
      <c r="C559" s="139"/>
      <c r="D559" s="63"/>
      <c r="E559" s="63"/>
      <c r="F559" s="64"/>
      <c r="G559" s="65"/>
      <c r="H559" s="65"/>
      <c r="I559" s="61"/>
      <c r="J559" s="61"/>
      <c r="K559" s="67"/>
      <c r="L559" s="64"/>
    </row>
    <row r="560" spans="1:12" ht="18.5" customHeight="1" x14ac:dyDescent="0.2">
      <c r="A560" s="60"/>
      <c r="B560" s="61"/>
      <c r="C560" s="139"/>
      <c r="D560" s="63"/>
      <c r="E560" s="63"/>
      <c r="F560" s="64"/>
      <c r="G560" s="65"/>
      <c r="H560" s="65"/>
      <c r="I560" s="61"/>
      <c r="J560" s="61"/>
      <c r="K560" s="67"/>
      <c r="L560" s="64"/>
    </row>
    <row r="561" spans="1:12" ht="18.5" customHeight="1" x14ac:dyDescent="0.2">
      <c r="A561" s="60"/>
      <c r="B561" s="61"/>
      <c r="C561" s="139"/>
      <c r="D561" s="63"/>
      <c r="E561" s="63"/>
      <c r="F561" s="64"/>
      <c r="G561" s="65"/>
      <c r="H561" s="65"/>
      <c r="I561" s="61"/>
      <c r="J561" s="61"/>
      <c r="K561" s="67"/>
      <c r="L561" s="64"/>
    </row>
    <row r="562" spans="1:12" ht="18.5" customHeight="1" x14ac:dyDescent="0.2">
      <c r="A562" s="60"/>
      <c r="B562" s="61"/>
      <c r="C562" s="139"/>
      <c r="D562" s="63"/>
      <c r="E562" s="63"/>
      <c r="F562" s="64"/>
      <c r="G562" s="65"/>
      <c r="H562" s="65"/>
      <c r="I562" s="61"/>
      <c r="J562" s="61"/>
      <c r="K562" s="67"/>
      <c r="L562" s="64"/>
    </row>
    <row r="563" spans="1:12" ht="18.5" customHeight="1" x14ac:dyDescent="0.2">
      <c r="A563" s="60"/>
      <c r="B563" s="61"/>
      <c r="C563" s="139"/>
      <c r="D563" s="63"/>
      <c r="E563" s="63"/>
      <c r="F563" s="64"/>
      <c r="G563" s="65"/>
      <c r="H563" s="65"/>
      <c r="I563" s="61"/>
      <c r="J563" s="61"/>
      <c r="K563" s="67"/>
      <c r="L563" s="64"/>
    </row>
    <row r="564" spans="1:12" ht="18.5" customHeight="1" x14ac:dyDescent="0.2">
      <c r="A564" s="60"/>
      <c r="B564" s="61"/>
      <c r="C564" s="139"/>
      <c r="D564" s="63"/>
      <c r="E564" s="63"/>
      <c r="F564" s="64"/>
      <c r="G564" s="65"/>
      <c r="H564" s="65"/>
      <c r="I564" s="61"/>
      <c r="J564" s="61"/>
      <c r="K564" s="67"/>
      <c r="L564" s="64"/>
    </row>
    <row r="565" spans="1:12" ht="18.5" customHeight="1" x14ac:dyDescent="0.2">
      <c r="A565" s="60"/>
      <c r="B565" s="61"/>
      <c r="C565" s="139"/>
      <c r="D565" s="63"/>
      <c r="E565" s="63"/>
      <c r="F565" s="64"/>
      <c r="G565" s="65"/>
      <c r="H565" s="65"/>
      <c r="I565" s="61"/>
      <c r="J565" s="61"/>
      <c r="K565" s="67"/>
      <c r="L565" s="64"/>
    </row>
    <row r="566" spans="1:12" ht="18.5" customHeight="1" x14ac:dyDescent="0.2">
      <c r="A566" s="60"/>
      <c r="B566" s="61"/>
      <c r="C566" s="139"/>
      <c r="D566" s="63"/>
      <c r="E566" s="63"/>
      <c r="F566" s="64"/>
      <c r="G566" s="65"/>
      <c r="H566" s="65"/>
      <c r="I566" s="61"/>
      <c r="J566" s="61"/>
      <c r="K566" s="67"/>
      <c r="L566" s="64"/>
    </row>
    <row r="567" spans="1:12" ht="18.5" customHeight="1" x14ac:dyDescent="0.2">
      <c r="A567" s="60"/>
      <c r="B567" s="61"/>
      <c r="C567" s="139"/>
      <c r="D567" s="63"/>
      <c r="E567" s="63"/>
      <c r="F567" s="64"/>
      <c r="G567" s="65"/>
      <c r="H567" s="65"/>
      <c r="I567" s="61"/>
      <c r="J567" s="61"/>
      <c r="K567" s="67"/>
      <c r="L567" s="64"/>
    </row>
    <row r="568" spans="1:12" ht="18.5" customHeight="1" x14ac:dyDescent="0.2">
      <c r="A568" s="60"/>
      <c r="B568" s="61"/>
      <c r="C568" s="139"/>
      <c r="D568" s="63"/>
      <c r="E568" s="63"/>
      <c r="F568" s="64"/>
      <c r="G568" s="65"/>
      <c r="H568" s="65"/>
      <c r="I568" s="61"/>
      <c r="J568" s="61"/>
      <c r="K568" s="67"/>
      <c r="L568" s="64"/>
    </row>
    <row r="569" spans="1:12" ht="18.5" customHeight="1" x14ac:dyDescent="0.2">
      <c r="A569" s="60"/>
      <c r="B569" s="61"/>
      <c r="C569" s="139"/>
      <c r="D569" s="63"/>
      <c r="E569" s="63"/>
      <c r="F569" s="64"/>
      <c r="G569" s="65"/>
      <c r="H569" s="65"/>
      <c r="I569" s="61"/>
      <c r="J569" s="61"/>
      <c r="K569" s="67"/>
      <c r="L569" s="64"/>
    </row>
    <row r="570" spans="1:12" ht="18.5" customHeight="1" x14ac:dyDescent="0.2">
      <c r="A570" s="60"/>
      <c r="B570" s="61"/>
      <c r="C570" s="139"/>
      <c r="D570" s="63"/>
      <c r="E570" s="63"/>
      <c r="F570" s="64"/>
      <c r="G570" s="65"/>
      <c r="H570" s="65"/>
      <c r="I570" s="61"/>
      <c r="J570" s="61"/>
      <c r="K570" s="67"/>
      <c r="L570" s="64"/>
    </row>
    <row r="571" spans="1:12" ht="18.5" customHeight="1" x14ac:dyDescent="0.2">
      <c r="A571" s="60"/>
      <c r="B571" s="61"/>
      <c r="C571" s="139"/>
      <c r="D571" s="63"/>
      <c r="E571" s="63"/>
      <c r="F571" s="64"/>
      <c r="G571" s="65"/>
      <c r="H571" s="65"/>
      <c r="I571" s="61"/>
      <c r="J571" s="61"/>
      <c r="K571" s="67"/>
      <c r="L571" s="64"/>
    </row>
    <row r="572" spans="1:12" ht="18.5" customHeight="1" x14ac:dyDescent="0.2">
      <c r="A572" s="60"/>
      <c r="B572" s="61"/>
      <c r="C572" s="139"/>
      <c r="D572" s="63"/>
      <c r="E572" s="63"/>
      <c r="F572" s="64"/>
      <c r="G572" s="65"/>
      <c r="H572" s="65"/>
      <c r="I572" s="61"/>
      <c r="J572" s="61"/>
      <c r="K572" s="67"/>
      <c r="L572" s="64"/>
    </row>
    <row r="573" spans="1:12" ht="18.5" customHeight="1" x14ac:dyDescent="0.2">
      <c r="A573" s="71"/>
      <c r="B573" s="72"/>
      <c r="C573" s="141"/>
      <c r="D573" s="73"/>
      <c r="E573" s="73"/>
      <c r="F573" s="74"/>
      <c r="G573" s="75"/>
      <c r="H573" s="75"/>
      <c r="I573" s="72"/>
      <c r="J573" s="72"/>
      <c r="K573" s="76"/>
      <c r="L573" s="64"/>
    </row>
    <row r="574" spans="1:12" ht="18.5" customHeight="1" x14ac:dyDescent="0.2">
      <c r="A574" s="77"/>
      <c r="B574" s="72"/>
      <c r="C574" s="139"/>
      <c r="D574" s="63"/>
      <c r="E574" s="63"/>
      <c r="F574" s="64"/>
      <c r="G574" s="65"/>
      <c r="H574" s="65"/>
      <c r="I574" s="66"/>
      <c r="J574" s="61"/>
      <c r="K574" s="67"/>
      <c r="L574" s="78"/>
    </row>
    <row r="575" spans="1:12" ht="18.5" customHeight="1" x14ac:dyDescent="0.2">
      <c r="A575" s="77"/>
      <c r="B575" s="72"/>
      <c r="C575" s="139"/>
      <c r="D575" s="63"/>
      <c r="E575" s="63"/>
      <c r="F575" s="64"/>
      <c r="G575" s="65"/>
      <c r="H575" s="65"/>
      <c r="I575" s="66"/>
      <c r="J575" s="61"/>
      <c r="K575" s="67"/>
      <c r="L575" s="78"/>
    </row>
    <row r="576" spans="1:12" ht="18.5" customHeight="1" x14ac:dyDescent="0.2">
      <c r="A576" s="77"/>
      <c r="B576" s="72"/>
      <c r="C576" s="139"/>
      <c r="D576" s="63"/>
      <c r="E576" s="63"/>
      <c r="F576" s="64"/>
      <c r="G576" s="65"/>
      <c r="H576" s="65"/>
      <c r="I576" s="66"/>
      <c r="J576" s="61"/>
      <c r="K576" s="67"/>
      <c r="L576" s="78"/>
    </row>
    <row r="577" spans="1:12" ht="18" customHeight="1" x14ac:dyDescent="0.2">
      <c r="A577" s="77"/>
      <c r="B577" s="79"/>
      <c r="C577" s="142"/>
      <c r="D577" s="80"/>
      <c r="E577" s="80"/>
      <c r="F577" s="150"/>
      <c r="G577" s="81"/>
      <c r="H577" s="81"/>
      <c r="I577" s="79"/>
      <c r="J577" s="79"/>
      <c r="K577" s="81"/>
      <c r="L577" s="78"/>
    </row>
    <row r="578" spans="1:12" ht="18" customHeight="1" x14ac:dyDescent="0.2">
      <c r="A578" s="77"/>
      <c r="B578" s="79"/>
      <c r="C578" s="143"/>
      <c r="D578" s="80"/>
      <c r="E578" s="80"/>
      <c r="F578" s="150"/>
      <c r="G578" s="81"/>
      <c r="H578" s="81"/>
      <c r="I578" s="79"/>
      <c r="J578" s="79"/>
      <c r="K578" s="82"/>
      <c r="L578" s="78"/>
    </row>
    <row r="579" spans="1:12" ht="18" customHeight="1" x14ac:dyDescent="0.2">
      <c r="A579" s="77"/>
      <c r="B579" s="79"/>
      <c r="C579" s="143"/>
      <c r="D579" s="80"/>
      <c r="E579" s="80"/>
      <c r="F579" s="150"/>
      <c r="G579" s="81"/>
      <c r="H579" s="81"/>
      <c r="I579" s="79"/>
      <c r="J579" s="79"/>
      <c r="K579" s="81"/>
      <c r="L579" s="78"/>
    </row>
    <row r="580" spans="1:12" ht="18" customHeight="1" x14ac:dyDescent="0.2">
      <c r="A580" s="77"/>
      <c r="B580" s="79"/>
      <c r="C580" s="143"/>
      <c r="D580" s="80"/>
      <c r="E580" s="80"/>
      <c r="F580" s="150"/>
      <c r="G580" s="81"/>
      <c r="H580" s="81"/>
      <c r="I580" s="79"/>
      <c r="J580" s="79"/>
      <c r="K580" s="82"/>
      <c r="L580" s="78"/>
    </row>
    <row r="581" spans="1:12" ht="18" customHeight="1" x14ac:dyDescent="0.2">
      <c r="A581" s="77"/>
      <c r="B581" s="79"/>
      <c r="C581" s="143"/>
      <c r="D581" s="80"/>
      <c r="E581" s="80"/>
      <c r="F581" s="150"/>
      <c r="G581" s="81"/>
      <c r="H581" s="81"/>
      <c r="I581" s="79"/>
      <c r="J581" s="79"/>
      <c r="K581" s="81"/>
      <c r="L581" s="78"/>
    </row>
    <row r="582" spans="1:12" ht="18" customHeight="1" x14ac:dyDescent="0.2">
      <c r="A582" s="77"/>
      <c r="B582" s="79"/>
      <c r="C582" s="143"/>
      <c r="D582" s="80"/>
      <c r="E582" s="80"/>
      <c r="F582" s="150"/>
      <c r="G582" s="81"/>
      <c r="H582" s="81"/>
      <c r="I582" s="79"/>
      <c r="J582" s="79"/>
      <c r="K582" s="81"/>
      <c r="L582" s="78"/>
    </row>
    <row r="583" spans="1:12" ht="18" customHeight="1" x14ac:dyDescent="0.2">
      <c r="A583" s="77"/>
      <c r="B583" s="79"/>
      <c r="C583" s="143"/>
      <c r="D583" s="80"/>
      <c r="E583" s="80"/>
      <c r="F583" s="150"/>
      <c r="G583" s="81"/>
      <c r="H583" s="81"/>
      <c r="I583" s="79"/>
      <c r="J583" s="79"/>
      <c r="K583" s="81"/>
      <c r="L583" s="78"/>
    </row>
    <row r="584" spans="1:12" ht="18" customHeight="1" x14ac:dyDescent="0.2">
      <c r="A584" s="77"/>
      <c r="B584" s="79"/>
      <c r="C584" s="143"/>
      <c r="D584" s="80"/>
      <c r="E584" s="80"/>
      <c r="F584" s="150"/>
      <c r="G584" s="81"/>
      <c r="H584" s="151"/>
      <c r="I584" s="79"/>
      <c r="J584" s="79"/>
      <c r="K584" s="81"/>
      <c r="L584" s="78"/>
    </row>
    <row r="585" spans="1:12" ht="18" customHeight="1" x14ac:dyDescent="0.2">
      <c r="A585" s="77"/>
      <c r="B585" s="79"/>
      <c r="C585" s="143"/>
      <c r="D585" s="80"/>
      <c r="E585" s="80"/>
      <c r="F585" s="150"/>
      <c r="G585" s="81"/>
      <c r="H585" s="81"/>
      <c r="I585" s="79"/>
      <c r="J585" s="79"/>
      <c r="K585" s="81"/>
      <c r="L585" s="78"/>
    </row>
    <row r="586" spans="1:12" ht="18" customHeight="1" x14ac:dyDescent="0.2">
      <c r="A586" s="77"/>
      <c r="B586" s="79"/>
      <c r="C586" s="143"/>
      <c r="D586" s="80"/>
      <c r="E586" s="80"/>
      <c r="F586" s="150"/>
      <c r="G586" s="81"/>
      <c r="H586" s="81"/>
      <c r="I586" s="79"/>
      <c r="J586" s="79"/>
      <c r="K586" s="81"/>
      <c r="L586" s="78"/>
    </row>
    <row r="587" spans="1:12" ht="18" customHeight="1" x14ac:dyDescent="0.2">
      <c r="A587" s="77"/>
      <c r="B587" s="79"/>
      <c r="C587" s="143"/>
      <c r="D587" s="80"/>
      <c r="E587" s="80"/>
      <c r="F587" s="150"/>
      <c r="G587" s="81"/>
      <c r="H587" s="81"/>
      <c r="I587" s="79"/>
      <c r="J587" s="79"/>
      <c r="K587" s="82"/>
      <c r="L587" s="78"/>
    </row>
    <row r="588" spans="1:12" ht="18" customHeight="1" x14ac:dyDescent="0.2">
      <c r="A588" s="77"/>
      <c r="B588" s="79"/>
      <c r="C588" s="143"/>
      <c r="D588" s="80"/>
      <c r="E588" s="80"/>
      <c r="F588" s="150"/>
      <c r="G588" s="81"/>
      <c r="H588" s="81"/>
      <c r="I588" s="79"/>
      <c r="J588" s="79"/>
      <c r="K588" s="82"/>
      <c r="L588" s="78"/>
    </row>
    <row r="589" spans="1:12" ht="18" customHeight="1" x14ac:dyDescent="0.2">
      <c r="A589" s="77"/>
      <c r="B589" s="79"/>
      <c r="C589" s="143"/>
      <c r="D589" s="80"/>
      <c r="E589" s="80"/>
      <c r="F589" s="150"/>
      <c r="G589" s="81"/>
      <c r="H589" s="81"/>
      <c r="I589" s="79"/>
      <c r="J589" s="79"/>
      <c r="K589" s="82"/>
      <c r="L589" s="78"/>
    </row>
    <row r="590" spans="1:12" ht="18" customHeight="1" x14ac:dyDescent="0.2">
      <c r="A590" s="77"/>
      <c r="B590" s="79"/>
      <c r="C590" s="139"/>
      <c r="D590" s="80"/>
      <c r="E590" s="80"/>
      <c r="F590" s="150"/>
      <c r="G590" s="81"/>
      <c r="H590" s="81"/>
      <c r="I590" s="79"/>
      <c r="J590" s="79"/>
      <c r="K590" s="82"/>
      <c r="L590" s="78"/>
    </row>
    <row r="591" spans="1:12" ht="18" customHeight="1" x14ac:dyDescent="0.2">
      <c r="A591" s="77"/>
      <c r="B591" s="79"/>
      <c r="C591" s="143"/>
      <c r="D591" s="80"/>
      <c r="E591" s="80"/>
      <c r="F591" s="150"/>
      <c r="G591" s="81"/>
      <c r="H591" s="81"/>
      <c r="I591" s="79"/>
      <c r="J591" s="79"/>
      <c r="K591" s="82"/>
      <c r="L591" s="78"/>
    </row>
    <row r="592" spans="1:12" ht="18" customHeight="1" x14ac:dyDescent="0.2">
      <c r="A592" s="77"/>
      <c r="B592" s="79"/>
      <c r="C592" s="143"/>
      <c r="D592" s="80"/>
      <c r="E592" s="80"/>
      <c r="F592" s="150"/>
      <c r="G592" s="81"/>
      <c r="H592" s="81"/>
      <c r="I592" s="79"/>
      <c r="J592" s="79"/>
      <c r="K592" s="82"/>
      <c r="L592" s="78"/>
    </row>
    <row r="593" spans="1:12" ht="18" customHeight="1" x14ac:dyDescent="0.2">
      <c r="A593" s="77"/>
      <c r="B593" s="79"/>
      <c r="C593" s="143"/>
      <c r="D593" s="80"/>
      <c r="E593" s="80"/>
      <c r="F593" s="150"/>
      <c r="G593" s="81"/>
      <c r="H593" s="81"/>
      <c r="I593" s="79"/>
      <c r="J593" s="79"/>
      <c r="K593" s="82"/>
      <c r="L593" s="78"/>
    </row>
    <row r="594" spans="1:12" ht="18" customHeight="1" x14ac:dyDescent="0.2">
      <c r="A594" s="77"/>
      <c r="B594" s="79"/>
      <c r="C594" s="143"/>
      <c r="D594" s="80"/>
      <c r="E594" s="80"/>
      <c r="F594" s="150"/>
      <c r="G594" s="81"/>
      <c r="H594" s="81"/>
      <c r="I594" s="79"/>
      <c r="J594" s="79"/>
      <c r="K594" s="82"/>
      <c r="L594" s="78"/>
    </row>
    <row r="595" spans="1:12" ht="18" customHeight="1" x14ac:dyDescent="0.2">
      <c r="A595" s="77"/>
      <c r="B595" s="79"/>
      <c r="C595" s="143"/>
      <c r="D595" s="80"/>
      <c r="E595" s="80"/>
      <c r="F595" s="150"/>
      <c r="G595" s="81"/>
      <c r="H595" s="81"/>
      <c r="I595" s="79"/>
      <c r="J595" s="79"/>
      <c r="K595" s="82"/>
      <c r="L595" s="78"/>
    </row>
    <row r="596" spans="1:12" ht="18" customHeight="1" x14ac:dyDescent="0.2">
      <c r="A596" s="77"/>
      <c r="B596" s="79"/>
      <c r="C596" s="143"/>
      <c r="D596" s="80"/>
      <c r="E596" s="80"/>
      <c r="F596" s="150"/>
      <c r="G596" s="81"/>
      <c r="H596" s="81"/>
      <c r="I596" s="79"/>
      <c r="J596" s="79"/>
      <c r="K596" s="82"/>
      <c r="L596" s="78"/>
    </row>
    <row r="597" spans="1:12" ht="18" customHeight="1" x14ac:dyDescent="0.2">
      <c r="A597" s="77"/>
      <c r="B597" s="79"/>
      <c r="C597" s="143"/>
      <c r="D597" s="80"/>
      <c r="E597" s="80"/>
      <c r="F597" s="150"/>
      <c r="G597" s="81"/>
      <c r="H597" s="81"/>
      <c r="I597" s="79"/>
      <c r="J597" s="79"/>
      <c r="K597" s="82"/>
      <c r="L597" s="78"/>
    </row>
    <row r="598" spans="1:12" ht="18" customHeight="1" x14ac:dyDescent="0.2">
      <c r="A598" s="77"/>
      <c r="B598" s="79"/>
      <c r="C598" s="143"/>
      <c r="D598" s="80"/>
      <c r="E598" s="80"/>
      <c r="F598" s="150"/>
      <c r="G598" s="81"/>
      <c r="H598" s="81"/>
      <c r="I598" s="79"/>
      <c r="J598" s="79"/>
      <c r="K598" s="82"/>
      <c r="L598" s="78"/>
    </row>
    <row r="599" spans="1:12" ht="18" customHeight="1" x14ac:dyDescent="0.2">
      <c r="A599" s="77"/>
      <c r="B599" s="79"/>
      <c r="C599" s="143"/>
      <c r="D599" s="80"/>
      <c r="E599" s="80"/>
      <c r="F599" s="150"/>
      <c r="G599" s="81"/>
      <c r="H599" s="81"/>
      <c r="I599" s="79"/>
      <c r="J599" s="79"/>
      <c r="K599" s="81"/>
      <c r="L599" s="78"/>
    </row>
    <row r="600" spans="1:12" ht="18" customHeight="1" x14ac:dyDescent="0.2">
      <c r="A600" s="77"/>
      <c r="B600" s="79"/>
      <c r="C600" s="143"/>
      <c r="D600" s="80"/>
      <c r="E600" s="80"/>
      <c r="F600" s="150"/>
      <c r="G600" s="81"/>
      <c r="H600" s="81"/>
      <c r="I600" s="79"/>
      <c r="J600" s="79"/>
      <c r="K600" s="81"/>
      <c r="L600" s="78"/>
    </row>
    <row r="601" spans="1:12" ht="18" customHeight="1" x14ac:dyDescent="0.2">
      <c r="A601" s="77"/>
      <c r="B601" s="79"/>
      <c r="C601" s="143"/>
      <c r="D601" s="80"/>
      <c r="E601" s="80"/>
      <c r="F601" s="150"/>
      <c r="G601" s="81"/>
      <c r="H601" s="81"/>
      <c r="I601" s="79"/>
      <c r="J601" s="79"/>
      <c r="K601" s="82"/>
      <c r="L601" s="78"/>
    </row>
    <row r="602" spans="1:12" ht="18" customHeight="1" x14ac:dyDescent="0.2">
      <c r="A602" s="77"/>
      <c r="B602" s="79"/>
      <c r="C602" s="143"/>
      <c r="D602" s="80"/>
      <c r="E602" s="80"/>
      <c r="F602" s="150"/>
      <c r="G602" s="81"/>
      <c r="H602" s="81"/>
      <c r="I602" s="79"/>
      <c r="J602" s="79"/>
      <c r="K602" s="82"/>
      <c r="L602" s="78"/>
    </row>
    <row r="603" spans="1:12" ht="18" customHeight="1" x14ac:dyDescent="0.2">
      <c r="A603" s="77"/>
      <c r="B603" s="79"/>
      <c r="C603" s="143"/>
      <c r="D603" s="80"/>
      <c r="E603" s="80"/>
      <c r="F603" s="150"/>
      <c r="G603" s="81"/>
      <c r="H603" s="81"/>
      <c r="I603" s="79"/>
      <c r="J603" s="79"/>
      <c r="K603" s="81"/>
      <c r="L603" s="78"/>
    </row>
    <row r="604" spans="1:12" ht="18" customHeight="1" x14ac:dyDescent="0.2">
      <c r="A604" s="77"/>
      <c r="B604" s="79"/>
      <c r="C604" s="143"/>
      <c r="D604" s="80"/>
      <c r="E604" s="80"/>
      <c r="F604" s="150"/>
      <c r="G604" s="81"/>
      <c r="H604" s="81"/>
      <c r="I604" s="79"/>
      <c r="J604" s="79"/>
      <c r="K604" s="81"/>
      <c r="L604" s="78"/>
    </row>
    <row r="605" spans="1:12" ht="18" customHeight="1" x14ac:dyDescent="0.2">
      <c r="A605" s="77"/>
      <c r="B605" s="79"/>
      <c r="C605" s="143"/>
      <c r="D605" s="80"/>
      <c r="E605" s="80"/>
      <c r="F605" s="150"/>
      <c r="G605" s="81"/>
      <c r="H605" s="81"/>
      <c r="I605" s="79"/>
      <c r="J605" s="79"/>
      <c r="K605" s="81"/>
      <c r="L605" s="78"/>
    </row>
    <row r="606" spans="1:12" ht="18" customHeight="1" x14ac:dyDescent="0.2">
      <c r="A606" s="77"/>
      <c r="B606" s="79"/>
      <c r="C606" s="143"/>
      <c r="D606" s="80"/>
      <c r="E606" s="80"/>
      <c r="F606" s="150"/>
      <c r="G606" s="81"/>
      <c r="H606" s="81"/>
      <c r="I606" s="79"/>
      <c r="J606" s="79"/>
      <c r="K606" s="81"/>
      <c r="L606" s="78"/>
    </row>
    <row r="607" spans="1:12" ht="18" customHeight="1" x14ac:dyDescent="0.2">
      <c r="A607" s="77"/>
      <c r="B607" s="79"/>
      <c r="C607" s="139"/>
      <c r="D607" s="80"/>
      <c r="E607" s="80"/>
      <c r="F607" s="150"/>
      <c r="G607" s="81"/>
      <c r="H607" s="152"/>
      <c r="I607" s="79"/>
      <c r="J607" s="79"/>
      <c r="K607" s="82"/>
      <c r="L607" s="78"/>
    </row>
    <row r="608" spans="1:12" ht="18" customHeight="1" x14ac:dyDescent="0.2">
      <c r="A608" s="77"/>
      <c r="B608" s="79"/>
      <c r="C608" s="143"/>
      <c r="D608" s="80"/>
      <c r="E608" s="80"/>
      <c r="F608" s="150"/>
      <c r="G608" s="81"/>
      <c r="H608" s="152"/>
      <c r="I608" s="79"/>
      <c r="J608" s="79"/>
      <c r="K608" s="82"/>
      <c r="L608" s="78"/>
    </row>
    <row r="609" spans="1:12" ht="18" customHeight="1" x14ac:dyDescent="0.2">
      <c r="A609" s="77"/>
      <c r="B609" s="79"/>
      <c r="C609" s="143"/>
      <c r="D609" s="80"/>
      <c r="E609" s="80"/>
      <c r="F609" s="150"/>
      <c r="G609" s="81"/>
      <c r="H609" s="152"/>
      <c r="I609" s="79"/>
      <c r="J609" s="79"/>
      <c r="K609" s="82"/>
      <c r="L609" s="78"/>
    </row>
    <row r="610" spans="1:12" ht="18" customHeight="1" x14ac:dyDescent="0.2">
      <c r="A610" s="77"/>
      <c r="B610" s="79"/>
      <c r="C610" s="143"/>
      <c r="D610" s="80"/>
      <c r="E610" s="80"/>
      <c r="F610" s="150"/>
      <c r="G610" s="81"/>
      <c r="H610" s="81"/>
      <c r="I610" s="79"/>
      <c r="J610" s="79"/>
      <c r="K610" s="82"/>
      <c r="L610" s="78"/>
    </row>
    <row r="611" spans="1:12" ht="18" customHeight="1" x14ac:dyDescent="0.2">
      <c r="A611" s="77"/>
      <c r="B611" s="79"/>
      <c r="C611" s="143"/>
      <c r="D611" s="80"/>
      <c r="E611" s="80"/>
      <c r="F611" s="150"/>
      <c r="G611" s="81"/>
      <c r="H611" s="81"/>
      <c r="I611" s="79"/>
      <c r="J611" s="79"/>
      <c r="K611" s="82"/>
      <c r="L611" s="78"/>
    </row>
    <row r="612" spans="1:12" ht="18" customHeight="1" x14ac:dyDescent="0.2">
      <c r="A612" s="77"/>
      <c r="B612" s="79"/>
      <c r="C612" s="143"/>
      <c r="D612" s="80"/>
      <c r="E612" s="80"/>
      <c r="F612" s="150"/>
      <c r="G612" s="81"/>
      <c r="H612" s="81"/>
      <c r="I612" s="79"/>
      <c r="J612" s="79"/>
      <c r="K612" s="81"/>
      <c r="L612" s="78"/>
    </row>
    <row r="613" spans="1:12" ht="18" customHeight="1" x14ac:dyDescent="0.2">
      <c r="A613" s="77"/>
      <c r="B613" s="79"/>
      <c r="C613" s="142"/>
      <c r="D613" s="80"/>
      <c r="E613" s="80"/>
      <c r="F613" s="150"/>
      <c r="G613" s="153"/>
      <c r="H613" s="153"/>
      <c r="I613" s="81"/>
      <c r="J613" s="79"/>
      <c r="K613" s="154"/>
      <c r="L613" s="78"/>
    </row>
    <row r="614" spans="1:12" ht="18" customHeight="1" x14ac:dyDescent="0.2">
      <c r="A614" s="77"/>
      <c r="B614" s="79"/>
      <c r="C614" s="142"/>
      <c r="D614" s="80"/>
      <c r="E614" s="80"/>
      <c r="F614" s="150"/>
      <c r="G614" s="153"/>
      <c r="H614" s="153"/>
      <c r="I614" s="81"/>
      <c r="J614" s="79"/>
      <c r="K614" s="154"/>
      <c r="L614" s="78"/>
    </row>
    <row r="615" spans="1:12" ht="18" customHeight="1" x14ac:dyDescent="0.2">
      <c r="A615" s="77"/>
      <c r="B615" s="79"/>
      <c r="C615" s="142"/>
      <c r="D615" s="80"/>
      <c r="E615" s="80"/>
      <c r="F615" s="150"/>
      <c r="G615" s="153"/>
      <c r="H615" s="153"/>
      <c r="I615" s="81"/>
      <c r="J615" s="79"/>
      <c r="K615" s="154"/>
      <c r="L615" s="78"/>
    </row>
    <row r="616" spans="1:12" ht="18" customHeight="1" x14ac:dyDescent="0.2">
      <c r="A616" s="77"/>
      <c r="B616" s="79"/>
      <c r="C616" s="142"/>
      <c r="D616" s="155"/>
      <c r="E616" s="155"/>
      <c r="F616" s="150"/>
      <c r="G616" s="153"/>
      <c r="H616" s="81"/>
      <c r="I616" s="81"/>
      <c r="J616" s="79"/>
      <c r="K616" s="154"/>
      <c r="L616" s="78"/>
    </row>
    <row r="617" spans="1:12" ht="18" customHeight="1" x14ac:dyDescent="0.2">
      <c r="A617" s="77"/>
      <c r="B617" s="79"/>
      <c r="C617" s="142"/>
      <c r="D617" s="155"/>
      <c r="E617" s="155"/>
      <c r="F617" s="150"/>
      <c r="G617" s="153"/>
      <c r="H617" s="81"/>
      <c r="I617" s="81"/>
      <c r="J617" s="79"/>
      <c r="K617" s="154"/>
      <c r="L617" s="78"/>
    </row>
    <row r="618" spans="1:12" ht="18" customHeight="1" x14ac:dyDescent="0.2">
      <c r="A618" s="77"/>
      <c r="B618" s="79"/>
      <c r="C618" s="142"/>
      <c r="D618" s="155"/>
      <c r="E618" s="155"/>
      <c r="F618" s="150"/>
      <c r="G618" s="81"/>
      <c r="H618" s="81"/>
      <c r="I618" s="81"/>
      <c r="J618" s="79"/>
      <c r="K618" s="82"/>
      <c r="L618" s="78"/>
    </row>
    <row r="619" spans="1:12" ht="18" customHeight="1" x14ac:dyDescent="0.2">
      <c r="A619" s="77"/>
      <c r="B619" s="79"/>
      <c r="C619" s="142"/>
      <c r="D619" s="155"/>
      <c r="E619" s="155"/>
      <c r="F619" s="150"/>
      <c r="G619" s="81"/>
      <c r="H619" s="81"/>
      <c r="I619" s="81"/>
      <c r="J619" s="79"/>
      <c r="K619" s="82"/>
      <c r="L619" s="78"/>
    </row>
    <row r="620" spans="1:12" ht="18" customHeight="1" x14ac:dyDescent="0.2">
      <c r="A620" s="77"/>
      <c r="B620" s="79"/>
      <c r="C620" s="142"/>
      <c r="D620" s="80"/>
      <c r="E620" s="80"/>
      <c r="F620" s="156"/>
      <c r="G620" s="153"/>
      <c r="H620" s="153"/>
      <c r="I620" s="81"/>
      <c r="J620" s="79"/>
      <c r="K620" s="82"/>
      <c r="L620" s="78"/>
    </row>
    <row r="621" spans="1:12" ht="18" customHeight="1" x14ac:dyDescent="0.2">
      <c r="A621" s="77"/>
      <c r="B621" s="79"/>
      <c r="C621" s="142"/>
      <c r="D621" s="80"/>
      <c r="E621" s="80"/>
      <c r="F621" s="156"/>
      <c r="G621" s="81"/>
      <c r="H621" s="152"/>
      <c r="I621" s="81"/>
      <c r="J621" s="79"/>
      <c r="K621" s="82"/>
      <c r="L621" s="78"/>
    </row>
    <row r="622" spans="1:12" ht="18" customHeight="1" x14ac:dyDescent="0.2">
      <c r="A622" s="77"/>
      <c r="B622" s="79"/>
      <c r="C622" s="142"/>
      <c r="D622" s="80"/>
      <c r="E622" s="80"/>
      <c r="F622" s="156"/>
      <c r="G622" s="81"/>
      <c r="H622" s="152"/>
      <c r="I622" s="81"/>
      <c r="J622" s="79"/>
      <c r="K622" s="82"/>
      <c r="L622" s="78"/>
    </row>
    <row r="623" spans="1:12" ht="18" customHeight="1" x14ac:dyDescent="0.2">
      <c r="A623" s="77"/>
      <c r="B623" s="79"/>
      <c r="C623" s="142"/>
      <c r="D623" s="80"/>
      <c r="E623" s="80"/>
      <c r="F623" s="156"/>
      <c r="G623" s="81"/>
      <c r="H623" s="152"/>
      <c r="I623" s="81"/>
      <c r="J623" s="79"/>
      <c r="K623" s="82"/>
      <c r="L623" s="78"/>
    </row>
    <row r="624" spans="1:12" ht="18" customHeight="1" x14ac:dyDescent="0.2">
      <c r="A624" s="77"/>
      <c r="B624" s="79"/>
      <c r="C624" s="142"/>
      <c r="D624" s="80"/>
      <c r="E624" s="80"/>
      <c r="F624" s="156"/>
      <c r="G624" s="81"/>
      <c r="H624" s="152"/>
      <c r="I624" s="81"/>
      <c r="J624" s="79"/>
      <c r="K624" s="82"/>
      <c r="L624" s="78"/>
    </row>
    <row r="625" spans="1:12" ht="18" customHeight="1" x14ac:dyDescent="0.2">
      <c r="A625" s="77"/>
      <c r="B625" s="79"/>
      <c r="C625" s="142"/>
      <c r="D625" s="80"/>
      <c r="E625" s="80"/>
      <c r="F625" s="156"/>
      <c r="G625" s="81"/>
      <c r="H625" s="152"/>
      <c r="I625" s="81"/>
      <c r="J625" s="79"/>
      <c r="K625" s="82"/>
      <c r="L625" s="78"/>
    </row>
    <row r="626" spans="1:12" ht="18" customHeight="1" x14ac:dyDescent="0.2">
      <c r="A626" s="77"/>
      <c r="B626" s="79"/>
      <c r="C626" s="139"/>
      <c r="D626" s="80"/>
      <c r="E626" s="80"/>
      <c r="F626" s="156"/>
      <c r="G626" s="81"/>
      <c r="H626" s="152"/>
      <c r="I626" s="81"/>
      <c r="J626" s="79"/>
      <c r="K626" s="82"/>
      <c r="L626" s="78"/>
    </row>
    <row r="627" spans="1:12" ht="18" customHeight="1" x14ac:dyDescent="0.2">
      <c r="A627" s="77"/>
      <c r="B627" s="79"/>
      <c r="C627" s="142"/>
      <c r="D627" s="80"/>
      <c r="E627" s="80"/>
      <c r="F627" s="150"/>
      <c r="G627" s="153"/>
      <c r="H627" s="81"/>
      <c r="I627" s="81"/>
      <c r="J627" s="79"/>
      <c r="K627" s="82"/>
      <c r="L627" s="78"/>
    </row>
    <row r="628" spans="1:12" ht="18" customHeight="1" x14ac:dyDescent="0.2">
      <c r="A628" s="77"/>
      <c r="B628" s="79"/>
      <c r="C628" s="144"/>
      <c r="D628" s="80"/>
      <c r="E628" s="80"/>
      <c r="F628" s="150"/>
      <c r="G628" s="153"/>
      <c r="H628" s="152"/>
      <c r="I628" s="81"/>
      <c r="J628" s="79"/>
      <c r="K628" s="82"/>
      <c r="L628" s="78"/>
    </row>
    <row r="629" spans="1:12" ht="18" customHeight="1" x14ac:dyDescent="0.2">
      <c r="A629" s="77"/>
      <c r="B629" s="79"/>
      <c r="C629" s="142"/>
      <c r="D629" s="80"/>
      <c r="E629" s="80"/>
      <c r="F629" s="150"/>
      <c r="G629" s="153"/>
      <c r="H629" s="152"/>
      <c r="I629" s="81"/>
      <c r="J629" s="79"/>
      <c r="K629" s="82"/>
      <c r="L629" s="78"/>
    </row>
    <row r="630" spans="1:12" ht="18" customHeight="1" x14ac:dyDescent="0.2">
      <c r="A630" s="77"/>
      <c r="B630" s="79"/>
      <c r="C630" s="144"/>
      <c r="D630" s="80"/>
      <c r="E630" s="80"/>
      <c r="F630" s="150"/>
      <c r="G630" s="81"/>
      <c r="H630" s="81"/>
      <c r="I630" s="81"/>
      <c r="J630" s="79"/>
      <c r="K630" s="82"/>
      <c r="L630" s="78"/>
    </row>
    <row r="631" spans="1:12" ht="18" customHeight="1" x14ac:dyDescent="0.2">
      <c r="A631" s="77"/>
      <c r="B631" s="79"/>
      <c r="C631" s="144"/>
      <c r="D631" s="80"/>
      <c r="E631" s="80"/>
      <c r="F631" s="150"/>
      <c r="G631" s="153"/>
      <c r="H631" s="81"/>
      <c r="I631" s="81"/>
      <c r="J631" s="79"/>
      <c r="K631" s="82"/>
      <c r="L631" s="78"/>
    </row>
    <row r="632" spans="1:12" ht="18" customHeight="1" x14ac:dyDescent="0.2">
      <c r="A632" s="77"/>
      <c r="B632" s="79"/>
      <c r="C632" s="142"/>
      <c r="D632" s="80"/>
      <c r="E632" s="80"/>
      <c r="F632" s="150"/>
      <c r="G632" s="153"/>
      <c r="H632" s="81"/>
      <c r="I632" s="81"/>
      <c r="J632" s="79"/>
      <c r="K632" s="82"/>
      <c r="L632" s="78"/>
    </row>
    <row r="633" spans="1:12" ht="18" customHeight="1" x14ac:dyDescent="0.2">
      <c r="A633" s="77"/>
      <c r="B633" s="79"/>
      <c r="C633" s="139"/>
      <c r="D633" s="80"/>
      <c r="E633" s="80"/>
      <c r="F633" s="150"/>
      <c r="G633" s="81"/>
      <c r="H633" s="157"/>
      <c r="I633" s="81"/>
      <c r="J633" s="79"/>
      <c r="K633" s="82"/>
      <c r="L633" s="78"/>
    </row>
    <row r="634" spans="1:12" ht="18" customHeight="1" x14ac:dyDescent="0.2">
      <c r="A634" s="77"/>
      <c r="B634" s="79"/>
      <c r="C634" s="139"/>
      <c r="D634" s="80"/>
      <c r="E634" s="80"/>
      <c r="F634" s="150"/>
      <c r="G634" s="81"/>
      <c r="H634" s="152"/>
      <c r="I634" s="81"/>
      <c r="J634" s="79"/>
      <c r="K634" s="82"/>
      <c r="L634" s="78"/>
    </row>
    <row r="635" spans="1:12" ht="18" customHeight="1" x14ac:dyDescent="0.2">
      <c r="A635" s="77"/>
      <c r="B635" s="79"/>
      <c r="C635" s="142"/>
      <c r="D635" s="80"/>
      <c r="E635" s="80"/>
      <c r="F635" s="150"/>
      <c r="G635" s="81"/>
      <c r="H635" s="152"/>
      <c r="I635" s="81"/>
      <c r="J635" s="79"/>
      <c r="K635" s="82"/>
      <c r="L635" s="78"/>
    </row>
    <row r="636" spans="1:12" ht="18" customHeight="1" x14ac:dyDescent="0.2">
      <c r="A636" s="77"/>
      <c r="B636" s="79"/>
      <c r="C636" s="142"/>
      <c r="D636" s="80"/>
      <c r="E636" s="80"/>
      <c r="F636" s="150"/>
      <c r="G636" s="81"/>
      <c r="H636" s="152"/>
      <c r="I636" s="81"/>
      <c r="J636" s="79"/>
      <c r="K636" s="82"/>
      <c r="L636" s="78"/>
    </row>
    <row r="637" spans="1:12" ht="18" customHeight="1" x14ac:dyDescent="0.2">
      <c r="A637" s="77"/>
      <c r="B637" s="79"/>
      <c r="C637" s="142"/>
      <c r="D637" s="80"/>
      <c r="E637" s="80"/>
      <c r="F637" s="150"/>
      <c r="G637" s="81"/>
      <c r="H637" s="152"/>
      <c r="I637" s="81"/>
      <c r="J637" s="79"/>
      <c r="K637" s="82"/>
      <c r="L637" s="78"/>
    </row>
    <row r="638" spans="1:12" ht="18" customHeight="1" x14ac:dyDescent="0.2">
      <c r="A638" s="83"/>
      <c r="B638" s="84"/>
      <c r="C638" s="145"/>
      <c r="D638" s="85"/>
      <c r="E638" s="85"/>
      <c r="F638" s="86"/>
      <c r="G638" s="87"/>
      <c r="H638" s="84"/>
      <c r="I638" s="88"/>
      <c r="J638" s="84"/>
      <c r="K638" s="88"/>
      <c r="L638" s="64"/>
    </row>
    <row r="639" spans="1:12" ht="18" customHeight="1" x14ac:dyDescent="0.2">
      <c r="A639" s="60"/>
      <c r="B639" s="61"/>
      <c r="C639" s="139"/>
      <c r="D639" s="63"/>
      <c r="E639" s="63"/>
      <c r="F639" s="64"/>
      <c r="G639" s="89"/>
      <c r="H639" s="61"/>
      <c r="I639" s="67"/>
      <c r="J639" s="61"/>
      <c r="K639" s="67"/>
      <c r="L639" s="64"/>
    </row>
    <row r="640" spans="1:12" ht="18" customHeight="1" x14ac:dyDescent="0.2">
      <c r="A640" s="60"/>
      <c r="B640" s="61"/>
      <c r="C640" s="139"/>
      <c r="D640" s="63"/>
      <c r="E640" s="63"/>
      <c r="F640" s="64"/>
      <c r="G640" s="89"/>
      <c r="H640" s="61"/>
      <c r="I640" s="67"/>
      <c r="J640" s="61"/>
      <c r="K640" s="67"/>
      <c r="L640" s="64"/>
    </row>
    <row r="641" spans="1:12" ht="18" customHeight="1" x14ac:dyDescent="0.2">
      <c r="A641" s="60"/>
      <c r="B641" s="61"/>
      <c r="C641" s="139"/>
      <c r="D641" s="63"/>
      <c r="E641" s="63"/>
      <c r="F641" s="64"/>
      <c r="G641" s="89"/>
      <c r="H641" s="61"/>
      <c r="I641" s="67"/>
      <c r="J641" s="61"/>
      <c r="K641" s="67"/>
      <c r="L641" s="64"/>
    </row>
    <row r="642" spans="1:12" ht="18" customHeight="1" x14ac:dyDescent="0.2">
      <c r="A642" s="60"/>
      <c r="B642" s="61"/>
      <c r="C642" s="139"/>
      <c r="D642" s="63"/>
      <c r="E642" s="63"/>
      <c r="F642" s="64"/>
      <c r="G642" s="89"/>
      <c r="H642" s="61"/>
      <c r="I642" s="67"/>
      <c r="J642" s="61"/>
      <c r="K642" s="67"/>
      <c r="L642" s="64"/>
    </row>
    <row r="643" spans="1:12" ht="18" customHeight="1" x14ac:dyDescent="0.2">
      <c r="A643" s="60"/>
      <c r="B643" s="61"/>
      <c r="C643" s="140"/>
      <c r="D643" s="63"/>
      <c r="E643" s="63"/>
      <c r="F643" s="64"/>
      <c r="G643" s="89"/>
      <c r="H643" s="61"/>
      <c r="I643" s="67"/>
      <c r="J643" s="61"/>
      <c r="K643" s="67"/>
      <c r="L643" s="64"/>
    </row>
    <row r="644" spans="1:12" ht="18" customHeight="1" x14ac:dyDescent="0.2">
      <c r="A644" s="60"/>
      <c r="B644" s="61"/>
      <c r="C644" s="139"/>
      <c r="D644" s="63"/>
      <c r="E644" s="63"/>
      <c r="F644" s="64"/>
      <c r="G644" s="61"/>
      <c r="H644" s="90"/>
      <c r="I644" s="67"/>
      <c r="J644" s="61"/>
      <c r="K644" s="67"/>
      <c r="L644" s="64"/>
    </row>
    <row r="645" spans="1:12" ht="18" customHeight="1" x14ac:dyDescent="0.2">
      <c r="A645" s="60"/>
      <c r="B645" s="61"/>
      <c r="C645" s="139"/>
      <c r="D645" s="63"/>
      <c r="E645" s="63"/>
      <c r="F645" s="64"/>
      <c r="G645" s="61"/>
      <c r="H645" s="90"/>
      <c r="I645" s="67"/>
      <c r="J645" s="61"/>
      <c r="K645" s="67"/>
      <c r="L645" s="64"/>
    </row>
    <row r="646" spans="1:12" ht="18" customHeight="1" x14ac:dyDescent="0.2">
      <c r="A646" s="60"/>
      <c r="B646" s="61"/>
      <c r="C646" s="139"/>
      <c r="D646" s="63"/>
      <c r="E646" s="63"/>
      <c r="F646" s="64"/>
      <c r="G646" s="61"/>
      <c r="H646" s="90"/>
      <c r="I646" s="67"/>
      <c r="J646" s="61"/>
      <c r="K646" s="67"/>
      <c r="L646" s="64"/>
    </row>
    <row r="647" spans="1:12" ht="18" customHeight="1" x14ac:dyDescent="0.2">
      <c r="A647" s="60"/>
      <c r="B647" s="61"/>
      <c r="D647" s="63"/>
      <c r="E647" s="63"/>
      <c r="F647" s="64"/>
      <c r="G647" s="61"/>
      <c r="H647" s="90"/>
      <c r="I647" s="89"/>
      <c r="J647" s="61"/>
      <c r="K647" s="89"/>
      <c r="L647" s="64"/>
    </row>
    <row r="648" spans="1:12" ht="18" customHeight="1" x14ac:dyDescent="0.2">
      <c r="A648" s="60"/>
      <c r="B648" s="61"/>
      <c r="C648" s="139"/>
      <c r="D648" s="63"/>
      <c r="E648" s="63"/>
      <c r="F648" s="64"/>
      <c r="G648" s="62"/>
      <c r="H648" s="62"/>
      <c r="I648" s="61"/>
      <c r="J648" s="61"/>
      <c r="K648" s="89"/>
      <c r="L648" s="64"/>
    </row>
    <row r="649" spans="1:12" ht="18" customHeight="1" x14ac:dyDescent="0.2">
      <c r="A649" s="60"/>
      <c r="B649" s="61"/>
      <c r="C649" s="139"/>
      <c r="D649" s="63"/>
      <c r="E649" s="63"/>
      <c r="F649" s="64"/>
      <c r="G649" s="62"/>
      <c r="H649" s="62"/>
      <c r="I649" s="61"/>
      <c r="J649" s="61"/>
      <c r="K649" s="89"/>
      <c r="L649" s="64"/>
    </row>
    <row r="650" spans="1:12" ht="18" customHeight="1" x14ac:dyDescent="0.2">
      <c r="A650" s="60"/>
      <c r="B650" s="61"/>
      <c r="C650" s="139"/>
      <c r="D650" s="63"/>
      <c r="E650" s="63"/>
      <c r="F650" s="64"/>
      <c r="G650" s="62"/>
      <c r="H650" s="62"/>
      <c r="I650" s="61"/>
      <c r="J650" s="61"/>
      <c r="K650" s="89"/>
      <c r="L650" s="64"/>
    </row>
    <row r="651" spans="1:12" ht="18" customHeight="1" x14ac:dyDescent="0.2">
      <c r="A651" s="60"/>
      <c r="B651" s="61"/>
      <c r="C651" s="139"/>
      <c r="D651" s="63"/>
      <c r="E651" s="63"/>
      <c r="F651" s="64"/>
      <c r="G651" s="62"/>
      <c r="H651" s="62"/>
      <c r="I651" s="61"/>
      <c r="J651" s="61"/>
      <c r="K651" s="89"/>
      <c r="L651" s="64"/>
    </row>
    <row r="652" spans="1:12" ht="18" customHeight="1" x14ac:dyDescent="0.2">
      <c r="A652" s="60"/>
      <c r="B652" s="61"/>
      <c r="C652" s="139"/>
      <c r="D652" s="63"/>
      <c r="E652" s="63"/>
      <c r="F652" s="64"/>
      <c r="G652" s="61"/>
      <c r="H652" s="62"/>
      <c r="I652" s="67"/>
      <c r="J652" s="61"/>
      <c r="K652" s="67"/>
      <c r="L652" s="64"/>
    </row>
    <row r="653" spans="1:12" ht="18" customHeight="1" x14ac:dyDescent="0.2">
      <c r="A653" s="60"/>
      <c r="B653" s="61"/>
      <c r="C653" s="139"/>
      <c r="D653" s="63"/>
      <c r="E653" s="63"/>
      <c r="F653" s="64"/>
      <c r="G653" s="61"/>
      <c r="H653" s="62"/>
      <c r="I653" s="67"/>
      <c r="J653" s="61"/>
      <c r="K653" s="67"/>
      <c r="L653" s="64"/>
    </row>
    <row r="654" spans="1:12" ht="18" customHeight="1" x14ac:dyDescent="0.2">
      <c r="A654" s="60"/>
      <c r="B654" s="61"/>
      <c r="D654" s="63"/>
      <c r="E654" s="63"/>
      <c r="F654" s="64"/>
      <c r="G654" s="61"/>
      <c r="H654" s="62"/>
      <c r="I654" s="67"/>
      <c r="J654" s="61"/>
      <c r="K654" s="67"/>
      <c r="L654" s="64"/>
    </row>
    <row r="655" spans="1:12" ht="18" customHeight="1" x14ac:dyDescent="0.2">
      <c r="A655" s="60"/>
      <c r="B655" s="61"/>
      <c r="C655" s="139"/>
      <c r="D655" s="63"/>
      <c r="E655" s="63"/>
      <c r="F655" s="64"/>
      <c r="G655" s="61"/>
      <c r="H655" s="62"/>
      <c r="I655" s="67"/>
      <c r="J655" s="61"/>
      <c r="K655" s="67"/>
      <c r="L655" s="64"/>
    </row>
    <row r="656" spans="1:12" ht="18" customHeight="1" x14ac:dyDescent="0.2">
      <c r="A656" s="60"/>
      <c r="B656" s="61"/>
      <c r="C656" s="139"/>
      <c r="D656" s="63"/>
      <c r="E656" s="63"/>
      <c r="F656" s="64"/>
      <c r="G656" s="61"/>
      <c r="H656" s="62"/>
      <c r="I656" s="67"/>
      <c r="J656" s="61"/>
      <c r="K656" s="67"/>
      <c r="L656" s="64"/>
    </row>
    <row r="657" spans="1:12" ht="18" customHeight="1" x14ac:dyDescent="0.2">
      <c r="A657" s="60"/>
      <c r="B657" s="61"/>
      <c r="C657" s="139"/>
      <c r="D657" s="63"/>
      <c r="E657" s="63"/>
      <c r="F657" s="64"/>
      <c r="G657" s="61"/>
      <c r="H657" s="61"/>
      <c r="I657" s="67"/>
      <c r="J657" s="61"/>
      <c r="K657" s="67"/>
      <c r="L657" s="64"/>
    </row>
    <row r="658" spans="1:12" ht="18" customHeight="1" x14ac:dyDescent="0.2">
      <c r="A658" s="60"/>
      <c r="B658" s="61"/>
      <c r="C658" s="139"/>
      <c r="D658" s="63"/>
      <c r="E658" s="63"/>
      <c r="F658" s="64"/>
      <c r="G658" s="61"/>
      <c r="H658" s="61"/>
      <c r="I658" s="67"/>
      <c r="J658" s="61"/>
      <c r="K658" s="67"/>
      <c r="L658" s="64"/>
    </row>
    <row r="659" spans="1:12" ht="18" customHeight="1" x14ac:dyDescent="0.2">
      <c r="A659" s="60"/>
      <c r="B659" s="61"/>
      <c r="C659" s="139"/>
      <c r="D659" s="63"/>
      <c r="E659" s="63"/>
      <c r="F659" s="64"/>
      <c r="G659" s="61"/>
      <c r="H659" s="61"/>
      <c r="I659" s="67"/>
      <c r="J659" s="61"/>
      <c r="K659" s="67"/>
      <c r="L659" s="64"/>
    </row>
    <row r="660" spans="1:12" ht="18" customHeight="1" x14ac:dyDescent="0.2">
      <c r="A660" s="60"/>
      <c r="B660" s="61"/>
      <c r="C660" s="139"/>
      <c r="D660" s="63"/>
      <c r="E660" s="63"/>
      <c r="F660" s="64"/>
      <c r="G660" s="61"/>
      <c r="H660" s="61"/>
      <c r="I660" s="67"/>
      <c r="J660" s="61"/>
      <c r="K660" s="67"/>
      <c r="L660" s="64"/>
    </row>
    <row r="661" spans="1:12" ht="18" customHeight="1" x14ac:dyDescent="0.2">
      <c r="A661" s="60"/>
      <c r="B661" s="61"/>
      <c r="C661" s="139"/>
      <c r="D661" s="63"/>
      <c r="E661" s="63"/>
      <c r="F661" s="64"/>
      <c r="G661" s="61"/>
      <c r="H661" s="61"/>
      <c r="I661" s="67"/>
      <c r="J661" s="61"/>
      <c r="K661" s="67"/>
      <c r="L661" s="64"/>
    </row>
    <row r="662" spans="1:12" ht="18" customHeight="1" x14ac:dyDescent="0.2">
      <c r="A662" s="60"/>
      <c r="B662" s="61"/>
      <c r="C662" s="140"/>
      <c r="D662" s="63"/>
      <c r="E662" s="63"/>
      <c r="F662" s="64"/>
      <c r="G662" s="62"/>
      <c r="H662" s="61"/>
      <c r="I662" s="61"/>
      <c r="J662" s="61"/>
      <c r="K662" s="67"/>
      <c r="L662" s="64"/>
    </row>
    <row r="663" spans="1:12" ht="18" customHeight="1" x14ac:dyDescent="0.2">
      <c r="A663" s="60"/>
      <c r="B663" s="61"/>
      <c r="C663" s="139"/>
      <c r="D663" s="63"/>
      <c r="E663" s="63"/>
      <c r="F663" s="64"/>
      <c r="G663" s="62"/>
      <c r="H663" s="61"/>
      <c r="I663" s="61"/>
      <c r="J663" s="61"/>
      <c r="K663" s="67"/>
      <c r="L663" s="64"/>
    </row>
    <row r="664" spans="1:12" ht="18" customHeight="1" x14ac:dyDescent="0.2">
      <c r="A664" s="60"/>
      <c r="B664" s="61"/>
      <c r="C664" s="139"/>
      <c r="D664" s="63"/>
      <c r="E664" s="63"/>
      <c r="F664" s="64"/>
      <c r="G664" s="91"/>
      <c r="H664" s="61"/>
      <c r="I664" s="61"/>
      <c r="J664" s="61"/>
      <c r="K664" s="67"/>
      <c r="L664" s="64"/>
    </row>
    <row r="665" spans="1:12" ht="18" customHeight="1" x14ac:dyDescent="0.2">
      <c r="A665" s="60"/>
      <c r="B665" s="61"/>
      <c r="C665" s="139"/>
      <c r="D665" s="63"/>
      <c r="E665" s="63"/>
      <c r="F665" s="64"/>
      <c r="G665" s="91"/>
      <c r="H665" s="61"/>
      <c r="I665" s="61"/>
      <c r="J665" s="61"/>
      <c r="K665" s="67"/>
      <c r="L665" s="64"/>
    </row>
    <row r="666" spans="1:12" ht="18" customHeight="1" x14ac:dyDescent="0.2">
      <c r="A666" s="60"/>
      <c r="B666" s="61"/>
      <c r="C666" s="139"/>
      <c r="D666" s="63"/>
      <c r="E666" s="63"/>
      <c r="F666" s="64"/>
      <c r="G666" s="62"/>
      <c r="H666" s="61"/>
      <c r="I666" s="61"/>
      <c r="J666" s="61"/>
      <c r="K666" s="67"/>
      <c r="L666" s="64"/>
    </row>
    <row r="667" spans="1:12" ht="18" customHeight="1" x14ac:dyDescent="0.2">
      <c r="A667" s="60"/>
      <c r="B667" s="61"/>
      <c r="C667" s="139"/>
      <c r="D667" s="63"/>
      <c r="E667" s="63"/>
      <c r="F667" s="64"/>
      <c r="G667" s="62"/>
      <c r="H667" s="62"/>
      <c r="I667" s="61"/>
      <c r="J667" s="61"/>
      <c r="K667" s="67"/>
      <c r="L667" s="64"/>
    </row>
    <row r="668" spans="1:12" ht="18" customHeight="1" x14ac:dyDescent="0.2">
      <c r="A668" s="60"/>
      <c r="B668" s="61"/>
      <c r="C668" s="139"/>
      <c r="D668" s="63"/>
      <c r="E668" s="63"/>
      <c r="F668" s="64"/>
      <c r="G668" s="62"/>
      <c r="H668" s="62"/>
      <c r="I668" s="61"/>
      <c r="J668" s="61"/>
      <c r="K668" s="67"/>
      <c r="L668" s="64"/>
    </row>
    <row r="669" spans="1:12" ht="18" customHeight="1" x14ac:dyDescent="0.2">
      <c r="A669" s="60"/>
      <c r="B669" s="61"/>
      <c r="C669" s="139"/>
      <c r="D669" s="63"/>
      <c r="E669" s="63"/>
      <c r="F669" s="64"/>
      <c r="G669" s="62"/>
      <c r="H669" s="62"/>
      <c r="I669" s="67"/>
      <c r="J669" s="61"/>
      <c r="K669" s="67"/>
      <c r="L669" s="64"/>
    </row>
    <row r="670" spans="1:12" ht="18" customHeight="1" x14ac:dyDescent="0.2">
      <c r="A670" s="60"/>
      <c r="B670" s="61"/>
      <c r="C670" s="139"/>
      <c r="D670" s="63"/>
      <c r="E670" s="63"/>
      <c r="F670" s="64"/>
      <c r="G670" s="62"/>
      <c r="H670" s="62"/>
      <c r="I670" s="67"/>
      <c r="J670" s="61"/>
      <c r="K670" s="67"/>
      <c r="L670" s="64"/>
    </row>
    <row r="671" spans="1:12" ht="18" customHeight="1" x14ac:dyDescent="0.2">
      <c r="A671" s="60"/>
      <c r="B671" s="61"/>
      <c r="C671" s="139"/>
      <c r="D671" s="63"/>
      <c r="E671" s="63"/>
      <c r="F671" s="64"/>
      <c r="G671" s="62"/>
      <c r="H671" s="62"/>
      <c r="I671" s="67"/>
      <c r="J671" s="61"/>
      <c r="K671" s="67"/>
      <c r="L671" s="64"/>
    </row>
    <row r="672" spans="1:12" ht="18" customHeight="1" x14ac:dyDescent="0.2">
      <c r="A672" s="60"/>
      <c r="B672" s="61"/>
      <c r="C672" s="146"/>
      <c r="D672" s="63"/>
      <c r="E672" s="63"/>
      <c r="F672" s="64"/>
      <c r="G672" s="91"/>
      <c r="H672" s="91"/>
      <c r="I672" s="61"/>
      <c r="J672" s="61"/>
      <c r="K672" s="67"/>
      <c r="L672" s="64"/>
    </row>
    <row r="673" spans="1:12" ht="18" customHeight="1" x14ac:dyDescent="0.2">
      <c r="A673" s="60"/>
      <c r="B673" s="61"/>
      <c r="C673" s="146"/>
      <c r="D673" s="63"/>
      <c r="E673" s="63"/>
      <c r="F673" s="64"/>
      <c r="G673" s="91"/>
      <c r="H673" s="91"/>
      <c r="I673" s="61"/>
      <c r="J673" s="61"/>
      <c r="K673" s="67"/>
      <c r="L673" s="64"/>
    </row>
    <row r="674" spans="1:12" ht="18" customHeight="1" x14ac:dyDescent="0.2">
      <c r="A674" s="60"/>
      <c r="B674" s="61"/>
      <c r="C674" s="146"/>
      <c r="D674" s="63"/>
      <c r="E674" s="63"/>
      <c r="F674" s="64"/>
      <c r="G674" s="91"/>
      <c r="H674" s="91"/>
      <c r="I674" s="61"/>
      <c r="J674" s="61"/>
      <c r="K674" s="67"/>
      <c r="L674" s="64"/>
    </row>
    <row r="675" spans="1:12" ht="18" customHeight="1" x14ac:dyDescent="0.2">
      <c r="A675" s="60"/>
      <c r="B675" s="61"/>
      <c r="C675" s="139"/>
      <c r="D675" s="63"/>
      <c r="E675" s="63"/>
      <c r="F675" s="64"/>
      <c r="G675" s="61"/>
      <c r="H675" s="62"/>
      <c r="I675" s="67"/>
      <c r="J675" s="61"/>
      <c r="K675" s="67"/>
      <c r="L675" s="64"/>
    </row>
    <row r="676" spans="1:12" ht="18" customHeight="1" x14ac:dyDescent="0.2">
      <c r="A676" s="60"/>
      <c r="B676" s="61"/>
      <c r="C676" s="139"/>
      <c r="D676" s="63"/>
      <c r="E676" s="63"/>
      <c r="F676" s="64"/>
      <c r="G676" s="61"/>
      <c r="H676" s="62"/>
      <c r="I676" s="67"/>
      <c r="J676" s="61"/>
      <c r="K676" s="67"/>
      <c r="L676" s="64"/>
    </row>
    <row r="677" spans="1:12" ht="18" customHeight="1" x14ac:dyDescent="0.2">
      <c r="A677" s="60"/>
      <c r="B677" s="61"/>
      <c r="C677" s="139"/>
      <c r="D677" s="63"/>
      <c r="E677" s="63"/>
      <c r="F677" s="64"/>
      <c r="G677" s="61"/>
      <c r="H677" s="65"/>
      <c r="I677" s="66"/>
      <c r="J677" s="61"/>
      <c r="K677" s="67"/>
      <c r="L677" s="64"/>
    </row>
    <row r="678" spans="1:12" ht="18" customHeight="1" x14ac:dyDescent="0.2">
      <c r="A678" s="60"/>
      <c r="B678" s="61"/>
      <c r="C678" s="140"/>
      <c r="D678" s="63"/>
      <c r="E678" s="63"/>
      <c r="F678" s="64"/>
      <c r="G678" s="61"/>
      <c r="H678" s="65"/>
      <c r="I678" s="66"/>
      <c r="J678" s="61"/>
      <c r="K678" s="67"/>
      <c r="L678" s="64"/>
    </row>
    <row r="679" spans="1:12" ht="18" customHeight="1" x14ac:dyDescent="0.2">
      <c r="A679" s="60"/>
      <c r="B679" s="61"/>
      <c r="C679" s="139"/>
      <c r="D679" s="63"/>
      <c r="E679" s="63"/>
      <c r="F679" s="64"/>
      <c r="G679" s="61"/>
      <c r="H679" s="62"/>
      <c r="I679" s="67"/>
      <c r="J679" s="61"/>
      <c r="K679" s="67"/>
      <c r="L679" s="64"/>
    </row>
    <row r="680" spans="1:12" ht="18" customHeight="1" x14ac:dyDescent="0.2">
      <c r="A680" s="60"/>
      <c r="B680" s="61"/>
      <c r="C680" s="140"/>
      <c r="D680" s="63"/>
      <c r="E680" s="63"/>
      <c r="F680" s="64"/>
      <c r="G680" s="61"/>
      <c r="H680" s="65"/>
      <c r="I680" s="66"/>
      <c r="J680" s="61"/>
      <c r="K680" s="67"/>
      <c r="L680" s="64"/>
    </row>
    <row r="681" spans="1:12" ht="18" customHeight="1" x14ac:dyDescent="0.2">
      <c r="A681" s="60"/>
      <c r="B681" s="61"/>
      <c r="C681" s="139"/>
      <c r="D681" s="63"/>
      <c r="E681" s="63"/>
      <c r="F681" s="64"/>
      <c r="G681" s="61"/>
      <c r="H681" s="65"/>
      <c r="I681" s="66"/>
      <c r="J681" s="61"/>
      <c r="K681" s="67"/>
      <c r="L681" s="64"/>
    </row>
    <row r="682" spans="1:12" ht="18" customHeight="1" x14ac:dyDescent="0.2">
      <c r="A682" s="60"/>
      <c r="B682" s="61"/>
      <c r="C682" s="140"/>
      <c r="D682" s="63"/>
      <c r="E682" s="63"/>
      <c r="F682" s="64"/>
      <c r="G682" s="61"/>
      <c r="H682" s="91"/>
      <c r="I682" s="67"/>
      <c r="J682" s="61"/>
      <c r="K682" s="67"/>
      <c r="L682" s="64"/>
    </row>
    <row r="683" spans="1:12" ht="18" customHeight="1" x14ac:dyDescent="0.2">
      <c r="A683" s="60"/>
      <c r="B683" s="61"/>
      <c r="C683" s="146"/>
      <c r="D683" s="63"/>
      <c r="E683" s="63"/>
      <c r="F683" s="64"/>
      <c r="G683" s="61"/>
      <c r="H683" s="91"/>
      <c r="I683" s="67"/>
      <c r="J683" s="61"/>
      <c r="K683" s="67"/>
      <c r="L683" s="64"/>
    </row>
    <row r="684" spans="1:12" ht="18" customHeight="1" x14ac:dyDescent="0.2">
      <c r="A684" s="60"/>
      <c r="B684" s="61"/>
      <c r="C684" s="146"/>
      <c r="D684" s="63"/>
      <c r="E684" s="63"/>
      <c r="F684" s="64"/>
      <c r="G684" s="61"/>
      <c r="H684" s="91"/>
      <c r="I684" s="67"/>
      <c r="J684" s="61"/>
      <c r="K684" s="67"/>
      <c r="L684" s="64"/>
    </row>
    <row r="685" spans="1:12" ht="18" customHeight="1" x14ac:dyDescent="0.2">
      <c r="A685" s="60"/>
      <c r="B685" s="61"/>
      <c r="C685" s="146"/>
      <c r="D685" s="63"/>
      <c r="E685" s="63"/>
      <c r="F685" s="64"/>
      <c r="G685" s="61"/>
      <c r="H685" s="91"/>
      <c r="I685" s="67"/>
      <c r="J685" s="61"/>
      <c r="K685" s="67"/>
      <c r="L685" s="64"/>
    </row>
    <row r="686" spans="1:12" ht="18" customHeight="1" x14ac:dyDescent="0.2">
      <c r="A686" s="60"/>
      <c r="B686" s="61"/>
      <c r="C686" s="146"/>
      <c r="D686" s="63"/>
      <c r="E686" s="63"/>
      <c r="F686" s="64"/>
      <c r="G686" s="61"/>
      <c r="I686" s="67"/>
      <c r="J686" s="61"/>
      <c r="K686" s="67"/>
      <c r="L686" s="64"/>
    </row>
    <row r="687" spans="1:12" ht="18" customHeight="1" x14ac:dyDescent="0.2">
      <c r="A687" s="60"/>
      <c r="B687" s="61"/>
      <c r="C687" s="146"/>
      <c r="D687" s="63"/>
      <c r="E687" s="63"/>
      <c r="F687" s="64"/>
      <c r="G687" s="61"/>
      <c r="H687" s="91"/>
      <c r="I687" s="67"/>
      <c r="J687" s="61"/>
      <c r="K687" s="67"/>
      <c r="L687" s="64"/>
    </row>
    <row r="688" spans="1:12" ht="18" customHeight="1" x14ac:dyDescent="0.2">
      <c r="A688" s="60"/>
      <c r="B688" s="61"/>
      <c r="C688" s="146"/>
      <c r="D688" s="63"/>
      <c r="E688" s="63"/>
      <c r="F688" s="64"/>
      <c r="G688" s="61"/>
      <c r="H688" s="91"/>
      <c r="I688" s="67"/>
      <c r="J688" s="61"/>
      <c r="K688" s="67"/>
      <c r="L688" s="64"/>
    </row>
    <row r="689" spans="1:12" ht="18" customHeight="1" x14ac:dyDescent="0.2">
      <c r="A689" s="60"/>
      <c r="B689" s="61"/>
      <c r="C689" s="146"/>
      <c r="D689" s="63"/>
      <c r="E689" s="63"/>
      <c r="F689" s="64"/>
      <c r="G689" s="61"/>
      <c r="H689" s="91"/>
      <c r="I689" s="67"/>
      <c r="J689" s="61"/>
      <c r="K689" s="89"/>
      <c r="L689" s="64"/>
    </row>
    <row r="690" spans="1:12" ht="18" customHeight="1" x14ac:dyDescent="0.2">
      <c r="A690" s="60"/>
      <c r="B690" s="61"/>
      <c r="C690" s="146"/>
      <c r="D690" s="63"/>
      <c r="E690" s="63"/>
      <c r="F690" s="64"/>
      <c r="G690" s="61"/>
      <c r="H690" s="91"/>
      <c r="I690" s="67"/>
      <c r="J690" s="61"/>
      <c r="K690" s="92"/>
      <c r="L690" s="64"/>
    </row>
    <row r="691" spans="1:12" ht="18" customHeight="1" x14ac:dyDescent="0.2">
      <c r="A691" s="60"/>
      <c r="B691" s="61"/>
      <c r="C691" s="146"/>
      <c r="D691" s="63"/>
      <c r="E691" s="63"/>
      <c r="F691" s="64"/>
      <c r="G691" s="61"/>
      <c r="H691" s="91"/>
      <c r="I691" s="67"/>
      <c r="J691" s="61"/>
      <c r="K691" s="92"/>
      <c r="L691" s="64"/>
    </row>
    <row r="692" spans="1:12" ht="18" customHeight="1" x14ac:dyDescent="0.2">
      <c r="A692" s="60"/>
      <c r="B692" s="61"/>
      <c r="C692" s="146"/>
      <c r="D692" s="63"/>
      <c r="E692" s="63"/>
      <c r="F692" s="64"/>
      <c r="G692" s="61"/>
      <c r="H692" s="91"/>
      <c r="I692" s="67"/>
      <c r="J692" s="61"/>
      <c r="K692" s="92"/>
      <c r="L692" s="64"/>
    </row>
    <row r="693" spans="1:12" ht="18" customHeight="1" x14ac:dyDescent="0.2">
      <c r="A693" s="60"/>
      <c r="B693" s="61"/>
      <c r="C693" s="146"/>
      <c r="D693" s="63"/>
      <c r="E693" s="63"/>
      <c r="F693" s="64"/>
      <c r="G693" s="61"/>
      <c r="H693" s="91"/>
      <c r="I693" s="67"/>
      <c r="J693" s="61"/>
      <c r="K693" s="92"/>
      <c r="L693" s="64"/>
    </row>
    <row r="694" spans="1:12" ht="18" customHeight="1" x14ac:dyDescent="0.2">
      <c r="A694" s="60"/>
      <c r="B694" s="61"/>
      <c r="C694" s="146"/>
      <c r="D694" s="63"/>
      <c r="E694" s="63"/>
      <c r="F694" s="64"/>
      <c r="G694" s="61"/>
      <c r="H694" s="91"/>
      <c r="I694" s="67"/>
      <c r="J694" s="61"/>
      <c r="K694" s="92"/>
      <c r="L694" s="64"/>
    </row>
    <row r="695" spans="1:12" ht="18" customHeight="1" x14ac:dyDescent="0.2">
      <c r="A695" s="60"/>
      <c r="B695" s="61"/>
      <c r="C695" s="146"/>
      <c r="D695" s="63"/>
      <c r="E695" s="63"/>
      <c r="F695" s="64"/>
      <c r="G695" s="61"/>
      <c r="H695" s="91"/>
      <c r="I695" s="67"/>
      <c r="J695" s="61"/>
      <c r="K695" s="92"/>
      <c r="L695" s="64"/>
    </row>
    <row r="696" spans="1:12" ht="18" customHeight="1" x14ac:dyDescent="0.2">
      <c r="A696" s="60"/>
      <c r="B696" s="61"/>
      <c r="C696" s="146"/>
      <c r="D696" s="63"/>
      <c r="E696" s="63"/>
      <c r="F696" s="64"/>
      <c r="G696" s="61"/>
      <c r="H696" s="91"/>
      <c r="I696" s="67"/>
      <c r="J696" s="61"/>
      <c r="K696" s="92"/>
      <c r="L696" s="64"/>
    </row>
    <row r="697" spans="1:12" ht="18" customHeight="1" x14ac:dyDescent="0.2">
      <c r="A697" s="60"/>
      <c r="B697" s="61"/>
      <c r="C697" s="139"/>
      <c r="D697" s="63"/>
      <c r="E697" s="63"/>
      <c r="F697" s="64"/>
      <c r="G697" s="61"/>
      <c r="H697" s="91"/>
      <c r="I697" s="67"/>
      <c r="J697" s="61"/>
      <c r="K697" s="92"/>
      <c r="L697" s="64"/>
    </row>
    <row r="698" spans="1:12" ht="18" customHeight="1" x14ac:dyDescent="0.2">
      <c r="A698" s="60"/>
      <c r="B698" s="61"/>
      <c r="C698" s="140"/>
      <c r="D698" s="63"/>
      <c r="E698" s="63"/>
      <c r="F698" s="64"/>
      <c r="G698" s="61"/>
      <c r="H698" s="91"/>
      <c r="I698" s="67"/>
      <c r="J698" s="61"/>
      <c r="K698" s="92"/>
      <c r="L698" s="64"/>
    </row>
    <row r="699" spans="1:12" ht="18" customHeight="1" x14ac:dyDescent="0.2">
      <c r="A699" s="60"/>
      <c r="B699" s="61"/>
      <c r="C699" s="146"/>
      <c r="D699" s="63"/>
      <c r="E699" s="63"/>
      <c r="F699" s="64"/>
      <c r="G699" s="61"/>
      <c r="H699" s="91"/>
      <c r="I699" s="67"/>
      <c r="J699" s="61"/>
      <c r="K699" s="92"/>
      <c r="L699" s="64"/>
    </row>
    <row r="700" spans="1:12" ht="18" customHeight="1" x14ac:dyDescent="0.2">
      <c r="A700" s="60"/>
      <c r="B700" s="61"/>
      <c r="C700" s="146"/>
      <c r="D700" s="63"/>
      <c r="E700" s="63"/>
      <c r="F700" s="64"/>
      <c r="G700" s="61"/>
      <c r="H700" s="91"/>
      <c r="I700" s="67"/>
      <c r="J700" s="61"/>
      <c r="K700" s="92"/>
      <c r="L700" s="64"/>
    </row>
    <row r="701" spans="1:12" ht="18" customHeight="1" x14ac:dyDescent="0.2">
      <c r="A701" s="60"/>
      <c r="B701" s="61"/>
      <c r="C701" s="146"/>
      <c r="D701" s="63"/>
      <c r="E701" s="63"/>
      <c r="F701" s="64"/>
      <c r="G701" s="61"/>
      <c r="H701" s="91"/>
      <c r="I701" s="67"/>
      <c r="J701" s="61"/>
      <c r="K701" s="92"/>
      <c r="L701" s="64"/>
    </row>
    <row r="702" spans="1:12" ht="18" customHeight="1" x14ac:dyDescent="0.2">
      <c r="A702" s="60"/>
      <c r="B702" s="61"/>
      <c r="C702" s="140"/>
      <c r="D702" s="63"/>
      <c r="E702" s="63"/>
      <c r="F702" s="64"/>
      <c r="G702" s="61"/>
      <c r="H702" s="91"/>
      <c r="I702" s="67"/>
      <c r="J702" s="61"/>
      <c r="K702" s="92"/>
      <c r="L702" s="64"/>
    </row>
    <row r="703" spans="1:12" ht="18" customHeight="1" x14ac:dyDescent="0.2">
      <c r="A703" s="60"/>
      <c r="B703" s="61"/>
      <c r="C703" s="140"/>
      <c r="D703" s="63"/>
      <c r="E703" s="63"/>
      <c r="F703" s="64"/>
      <c r="G703" s="61"/>
      <c r="I703" s="67"/>
      <c r="J703" s="61"/>
      <c r="K703" s="92"/>
      <c r="L703" s="64"/>
    </row>
    <row r="704" spans="1:12" ht="18" customHeight="1" x14ac:dyDescent="0.2">
      <c r="A704" s="60"/>
      <c r="B704" s="61"/>
      <c r="C704" s="140"/>
      <c r="D704" s="63"/>
      <c r="E704" s="63"/>
      <c r="F704" s="64"/>
      <c r="G704" s="61"/>
      <c r="H704" s="62"/>
      <c r="I704" s="89"/>
      <c r="J704" s="61"/>
      <c r="K704" s="89"/>
      <c r="L704" s="64"/>
    </row>
    <row r="705" spans="1:12" ht="18" customHeight="1" x14ac:dyDescent="0.2">
      <c r="A705" s="60"/>
      <c r="B705" s="61"/>
      <c r="C705" s="140"/>
      <c r="D705" s="63"/>
      <c r="E705" s="63"/>
      <c r="F705" s="64"/>
      <c r="G705" s="61"/>
      <c r="H705" s="62"/>
      <c r="I705" s="61"/>
      <c r="J705" s="61"/>
      <c r="K705" s="89"/>
      <c r="L705" s="64"/>
    </row>
    <row r="706" spans="1:12" ht="18" customHeight="1" x14ac:dyDescent="0.2">
      <c r="A706" s="60"/>
      <c r="B706" s="61"/>
      <c r="C706" s="140"/>
      <c r="D706" s="63"/>
      <c r="E706" s="63"/>
      <c r="F706" s="64"/>
      <c r="G706" s="61"/>
      <c r="H706" s="62"/>
      <c r="I706" s="61"/>
      <c r="J706" s="61"/>
      <c r="K706" s="89"/>
      <c r="L706" s="64"/>
    </row>
    <row r="707" spans="1:12" ht="18" customHeight="1" x14ac:dyDescent="0.2">
      <c r="A707" s="60"/>
      <c r="B707" s="61"/>
      <c r="C707" s="140"/>
      <c r="D707" s="63"/>
      <c r="E707" s="63"/>
      <c r="F707" s="64"/>
      <c r="G707" s="61"/>
      <c r="H707" s="62"/>
      <c r="I707" s="61"/>
      <c r="J707" s="61"/>
      <c r="K707" s="89"/>
      <c r="L707" s="64"/>
    </row>
    <row r="708" spans="1:12" ht="18" customHeight="1" x14ac:dyDescent="0.2">
      <c r="A708" s="60"/>
      <c r="B708" s="61"/>
      <c r="C708" s="140"/>
      <c r="D708" s="63"/>
      <c r="E708" s="63"/>
      <c r="F708" s="64"/>
      <c r="G708" s="61"/>
      <c r="H708" s="62"/>
      <c r="I708" s="61"/>
      <c r="J708" s="61"/>
      <c r="K708" s="89"/>
      <c r="L708" s="64"/>
    </row>
    <row r="709" spans="1:12" ht="18" customHeight="1" x14ac:dyDescent="0.2">
      <c r="A709" s="60"/>
      <c r="B709" s="61"/>
      <c r="C709" s="140"/>
      <c r="D709" s="63"/>
      <c r="E709" s="63"/>
      <c r="F709" s="64"/>
      <c r="G709" s="61"/>
      <c r="H709" s="62"/>
      <c r="I709" s="61"/>
      <c r="J709" s="61"/>
      <c r="K709" s="89"/>
      <c r="L709" s="64"/>
    </row>
    <row r="710" spans="1:12" ht="18" customHeight="1" x14ac:dyDescent="0.2">
      <c r="A710" s="60"/>
      <c r="B710" s="61"/>
      <c r="C710" s="140"/>
      <c r="D710" s="63"/>
      <c r="E710" s="63"/>
      <c r="F710" s="64"/>
      <c r="G710" s="61"/>
      <c r="H710" s="62"/>
      <c r="I710" s="61"/>
      <c r="J710" s="61"/>
      <c r="K710" s="89"/>
      <c r="L710" s="64"/>
    </row>
    <row r="711" spans="1:12" ht="18" customHeight="1" x14ac:dyDescent="0.2">
      <c r="A711" s="60"/>
      <c r="B711" s="61"/>
      <c r="C711" s="140"/>
      <c r="D711" s="63"/>
      <c r="E711" s="63"/>
      <c r="F711" s="64"/>
      <c r="G711" s="61"/>
      <c r="H711" s="62"/>
      <c r="I711" s="61"/>
      <c r="J711" s="61"/>
      <c r="K711" s="89"/>
      <c r="L711" s="64"/>
    </row>
    <row r="712" spans="1:12" ht="18" customHeight="1" x14ac:dyDescent="0.2">
      <c r="A712" s="60"/>
      <c r="B712" s="61"/>
      <c r="C712" s="140"/>
      <c r="D712" s="63"/>
      <c r="E712" s="63"/>
      <c r="F712" s="64"/>
      <c r="G712" s="61"/>
      <c r="H712" s="62"/>
      <c r="I712" s="61"/>
      <c r="J712" s="61"/>
      <c r="K712" s="89"/>
      <c r="L712" s="64"/>
    </row>
    <row r="713" spans="1:12" ht="18" customHeight="1" x14ac:dyDescent="0.2">
      <c r="A713" s="60"/>
      <c r="B713" s="61"/>
      <c r="C713" s="140"/>
      <c r="D713" s="63"/>
      <c r="E713" s="63"/>
      <c r="F713" s="64"/>
      <c r="G713" s="61"/>
      <c r="H713" s="62"/>
      <c r="I713" s="61"/>
      <c r="J713" s="61"/>
      <c r="K713" s="89"/>
      <c r="L713" s="64"/>
    </row>
    <row r="714" spans="1:12" ht="18" customHeight="1" x14ac:dyDescent="0.2">
      <c r="A714" s="60"/>
      <c r="B714" s="61"/>
      <c r="C714" s="140"/>
      <c r="D714" s="63"/>
      <c r="E714" s="63"/>
      <c r="F714" s="64"/>
      <c r="G714" s="61"/>
      <c r="H714" s="62"/>
      <c r="I714" s="61"/>
      <c r="J714" s="61"/>
      <c r="K714" s="89"/>
      <c r="L714" s="64"/>
    </row>
    <row r="715" spans="1:12" ht="18" customHeight="1" x14ac:dyDescent="0.2">
      <c r="A715" s="60"/>
      <c r="B715" s="61"/>
      <c r="C715" s="140"/>
      <c r="D715" s="63"/>
      <c r="E715" s="63"/>
      <c r="F715" s="64"/>
      <c r="G715" s="61"/>
      <c r="H715" s="62"/>
      <c r="I715" s="61"/>
      <c r="J715" s="61"/>
      <c r="K715" s="89"/>
      <c r="L715" s="64"/>
    </row>
    <row r="716" spans="1:12" ht="18" customHeight="1" x14ac:dyDescent="0.2">
      <c r="A716" s="60"/>
      <c r="B716" s="61"/>
      <c r="C716" s="140"/>
      <c r="D716" s="63"/>
      <c r="E716" s="63"/>
      <c r="F716" s="64"/>
      <c r="G716" s="61"/>
      <c r="H716" s="62"/>
      <c r="I716" s="61"/>
      <c r="J716" s="61"/>
      <c r="K716" s="89"/>
      <c r="L716" s="64"/>
    </row>
    <row r="717" spans="1:12" ht="18" customHeight="1" x14ac:dyDescent="0.2">
      <c r="A717" s="60"/>
      <c r="B717" s="61"/>
      <c r="C717" s="140"/>
      <c r="D717" s="63"/>
      <c r="E717" s="63"/>
      <c r="F717" s="64"/>
      <c r="G717" s="61"/>
      <c r="H717" s="62"/>
      <c r="I717" s="61"/>
      <c r="J717" s="61"/>
      <c r="K717" s="89"/>
      <c r="L717" s="64"/>
    </row>
    <row r="718" spans="1:12" ht="18" customHeight="1" x14ac:dyDescent="0.2">
      <c r="A718" s="60"/>
      <c r="B718" s="61"/>
      <c r="C718" s="140"/>
      <c r="D718" s="63"/>
      <c r="E718" s="63"/>
      <c r="F718" s="64"/>
      <c r="G718" s="61"/>
      <c r="H718" s="62"/>
      <c r="I718" s="61"/>
      <c r="J718" s="61"/>
      <c r="K718" s="89"/>
      <c r="L718" s="64"/>
    </row>
    <row r="719" spans="1:12" ht="18" customHeight="1" x14ac:dyDescent="0.2">
      <c r="A719" s="60"/>
      <c r="B719" s="61"/>
      <c r="C719" s="140"/>
      <c r="D719" s="63"/>
      <c r="E719" s="63"/>
      <c r="F719" s="64"/>
      <c r="G719" s="61"/>
      <c r="H719" s="62"/>
      <c r="I719" s="61"/>
      <c r="J719" s="61"/>
      <c r="K719" s="89"/>
      <c r="L719" s="64"/>
    </row>
    <row r="720" spans="1:12" ht="18" customHeight="1" x14ac:dyDescent="0.2">
      <c r="A720" s="60"/>
      <c r="B720" s="61"/>
      <c r="C720" s="140"/>
      <c r="D720" s="63"/>
      <c r="E720" s="63"/>
      <c r="F720" s="64"/>
      <c r="G720" s="61"/>
      <c r="H720" s="62"/>
      <c r="I720" s="61"/>
      <c r="J720" s="61"/>
      <c r="K720" s="89"/>
      <c r="L720" s="64"/>
    </row>
    <row r="721" spans="1:12" ht="18" customHeight="1" x14ac:dyDescent="0.2">
      <c r="A721" s="60"/>
      <c r="B721" s="61"/>
      <c r="C721" s="140"/>
      <c r="D721" s="63"/>
      <c r="E721" s="63"/>
      <c r="F721" s="64"/>
      <c r="G721" s="61"/>
      <c r="H721" s="62"/>
      <c r="I721" s="61"/>
      <c r="J721" s="61"/>
      <c r="K721" s="89"/>
      <c r="L721" s="64"/>
    </row>
    <row r="722" spans="1:12" ht="18" customHeight="1" x14ac:dyDescent="0.2">
      <c r="A722" s="60"/>
      <c r="B722" s="61"/>
      <c r="C722" s="140"/>
      <c r="D722" s="63"/>
      <c r="E722" s="63"/>
      <c r="F722" s="64"/>
      <c r="G722" s="61"/>
      <c r="H722" s="62"/>
      <c r="I722" s="61"/>
      <c r="J722" s="61"/>
      <c r="K722" s="89"/>
      <c r="L722" s="64"/>
    </row>
    <row r="723" spans="1:12" ht="18" customHeight="1" x14ac:dyDescent="0.2">
      <c r="A723" s="60"/>
      <c r="B723" s="61"/>
      <c r="C723" s="140"/>
      <c r="D723" s="63"/>
      <c r="E723" s="63"/>
      <c r="F723" s="64"/>
      <c r="G723" s="61"/>
      <c r="H723" s="62"/>
      <c r="I723" s="61"/>
      <c r="J723" s="61"/>
      <c r="K723" s="89"/>
      <c r="L723" s="64"/>
    </row>
    <row r="724" spans="1:12" ht="18" customHeight="1" x14ac:dyDescent="0.2">
      <c r="A724" s="60"/>
      <c r="B724" s="61"/>
      <c r="C724" s="140"/>
      <c r="D724" s="63"/>
      <c r="E724" s="63"/>
      <c r="F724" s="64"/>
      <c r="G724" s="61"/>
      <c r="H724" s="62"/>
      <c r="I724" s="61"/>
      <c r="J724" s="61"/>
      <c r="K724" s="89"/>
      <c r="L724" s="64"/>
    </row>
    <row r="725" spans="1:12" ht="18" customHeight="1" x14ac:dyDescent="0.2">
      <c r="A725" s="60"/>
      <c r="B725" s="61"/>
      <c r="C725" s="140"/>
      <c r="D725" s="63"/>
      <c r="E725" s="63"/>
      <c r="F725" s="64"/>
      <c r="G725" s="61"/>
      <c r="H725" s="62"/>
      <c r="I725" s="61"/>
      <c r="J725" s="61"/>
      <c r="K725" s="89"/>
      <c r="L725" s="64"/>
    </row>
    <row r="726" spans="1:12" ht="18" customHeight="1" x14ac:dyDescent="0.2">
      <c r="A726" s="60"/>
      <c r="B726" s="61"/>
      <c r="C726" s="140"/>
      <c r="D726" s="63"/>
      <c r="E726" s="63"/>
      <c r="F726" s="64"/>
      <c r="G726" s="61"/>
      <c r="H726" s="62"/>
      <c r="I726" s="61"/>
      <c r="J726" s="61"/>
      <c r="K726" s="89"/>
      <c r="L726" s="64"/>
    </row>
    <row r="727" spans="1:12" ht="18" customHeight="1" x14ac:dyDescent="0.2">
      <c r="A727" s="60"/>
      <c r="B727" s="61"/>
      <c r="C727" s="140"/>
      <c r="D727" s="63"/>
      <c r="E727" s="63"/>
      <c r="F727" s="64"/>
      <c r="G727" s="61"/>
      <c r="H727" s="62"/>
      <c r="I727" s="61"/>
      <c r="J727" s="61"/>
      <c r="K727" s="89"/>
      <c r="L727" s="64"/>
    </row>
    <row r="728" spans="1:12" ht="18" customHeight="1" x14ac:dyDescent="0.2">
      <c r="A728" s="60"/>
      <c r="B728" s="61"/>
      <c r="C728" s="140"/>
      <c r="D728" s="63"/>
      <c r="E728" s="63"/>
      <c r="F728" s="64"/>
      <c r="G728" s="61"/>
      <c r="H728" s="62"/>
      <c r="I728" s="61"/>
      <c r="J728" s="61"/>
      <c r="K728" s="89"/>
      <c r="L728" s="64"/>
    </row>
    <row r="729" spans="1:12" ht="18" customHeight="1" x14ac:dyDescent="0.2">
      <c r="A729" s="60"/>
      <c r="B729" s="61"/>
      <c r="C729" s="140"/>
      <c r="D729" s="63"/>
      <c r="E729" s="63"/>
      <c r="F729" s="64"/>
      <c r="G729" s="61"/>
      <c r="H729" s="62"/>
      <c r="I729" s="61"/>
      <c r="J729" s="61"/>
      <c r="K729" s="89"/>
      <c r="L729" s="64"/>
    </row>
    <row r="730" spans="1:12" ht="18" customHeight="1" x14ac:dyDescent="0.2">
      <c r="A730" s="60"/>
      <c r="B730" s="61"/>
      <c r="C730" s="140"/>
      <c r="D730" s="63"/>
      <c r="E730" s="63"/>
      <c r="F730" s="64"/>
      <c r="G730" s="61"/>
      <c r="H730" s="62"/>
      <c r="I730" s="61"/>
      <c r="J730" s="61"/>
      <c r="K730" s="89"/>
      <c r="L730" s="64"/>
    </row>
    <row r="731" spans="1:12" ht="18" customHeight="1" x14ac:dyDescent="0.2">
      <c r="A731" s="60"/>
      <c r="B731" s="61"/>
      <c r="C731" s="140"/>
      <c r="D731" s="63"/>
      <c r="E731" s="63"/>
      <c r="F731" s="64"/>
      <c r="G731" s="61"/>
      <c r="H731" s="62"/>
      <c r="I731" s="61"/>
      <c r="J731" s="61"/>
      <c r="K731" s="89"/>
      <c r="L731" s="64"/>
    </row>
    <row r="732" spans="1:12" ht="18" customHeight="1" x14ac:dyDescent="0.2">
      <c r="A732" s="60"/>
      <c r="B732" s="61"/>
      <c r="C732" s="140"/>
      <c r="D732" s="63"/>
      <c r="E732" s="63"/>
      <c r="F732" s="64"/>
      <c r="G732" s="61"/>
      <c r="H732" s="62"/>
      <c r="I732" s="61"/>
      <c r="J732" s="61"/>
      <c r="K732" s="89"/>
      <c r="L732" s="64"/>
    </row>
    <row r="733" spans="1:12" ht="18" customHeight="1" x14ac:dyDescent="0.2">
      <c r="A733" s="60"/>
      <c r="B733" s="61"/>
      <c r="C733" s="139"/>
      <c r="D733" s="63"/>
      <c r="E733" s="63"/>
      <c r="F733" s="64"/>
      <c r="G733" s="61"/>
      <c r="H733" s="61"/>
      <c r="I733" s="67"/>
      <c r="J733" s="61"/>
      <c r="K733" s="89"/>
      <c r="L733" s="64"/>
    </row>
    <row r="734" spans="1:12" ht="18" customHeight="1" x14ac:dyDescent="0.2">
      <c r="A734" s="60"/>
      <c r="B734" s="61"/>
      <c r="C734" s="140"/>
      <c r="D734" s="63"/>
      <c r="E734" s="63"/>
      <c r="F734" s="64"/>
      <c r="G734" s="61"/>
      <c r="H734" s="62"/>
      <c r="I734" s="89"/>
      <c r="J734" s="61"/>
      <c r="K734" s="89"/>
      <c r="L734" s="64"/>
    </row>
    <row r="735" spans="1:12" ht="18" customHeight="1" x14ac:dyDescent="0.2">
      <c r="A735" s="60"/>
      <c r="B735" s="61"/>
      <c r="C735" s="139"/>
      <c r="D735" s="63"/>
      <c r="E735" s="63"/>
      <c r="F735" s="64"/>
      <c r="G735" s="61"/>
      <c r="H735" s="62"/>
      <c r="I735" s="67"/>
      <c r="J735" s="61"/>
      <c r="K735" s="89"/>
      <c r="L735" s="64"/>
    </row>
    <row r="736" spans="1:12" ht="18" customHeight="1" x14ac:dyDescent="0.2">
      <c r="A736" s="60"/>
      <c r="B736" s="61"/>
      <c r="C736" s="139"/>
      <c r="D736" s="63"/>
      <c r="E736" s="63"/>
      <c r="F736" s="64"/>
      <c r="G736" s="61"/>
      <c r="H736" s="62"/>
      <c r="I736" s="67"/>
      <c r="J736" s="61"/>
      <c r="K736" s="89"/>
      <c r="L736" s="64"/>
    </row>
    <row r="737" spans="1:12" ht="18" customHeight="1" x14ac:dyDescent="0.2">
      <c r="A737" s="60"/>
      <c r="B737" s="61"/>
      <c r="C737" s="139"/>
      <c r="D737" s="63"/>
      <c r="E737" s="63"/>
      <c r="F737" s="64"/>
      <c r="G737" s="61"/>
      <c r="H737" s="62"/>
      <c r="I737" s="67"/>
      <c r="J737" s="61"/>
      <c r="K737" s="89"/>
      <c r="L737" s="64"/>
    </row>
    <row r="738" spans="1:12" ht="18" customHeight="1" x14ac:dyDescent="0.2">
      <c r="A738" s="60"/>
      <c r="B738" s="61"/>
      <c r="C738" s="139"/>
      <c r="D738" s="63"/>
      <c r="E738" s="63"/>
      <c r="F738" s="64"/>
      <c r="G738" s="61"/>
      <c r="H738" s="62"/>
      <c r="I738" s="67"/>
      <c r="J738" s="61"/>
      <c r="K738" s="89"/>
      <c r="L738" s="64"/>
    </row>
    <row r="739" spans="1:12" ht="18" customHeight="1" x14ac:dyDescent="0.2">
      <c r="A739" s="60"/>
      <c r="B739" s="61"/>
      <c r="C739" s="139"/>
      <c r="D739" s="63"/>
      <c r="E739" s="63"/>
      <c r="F739" s="64"/>
      <c r="G739" s="61"/>
      <c r="H739" s="62"/>
      <c r="I739" s="67"/>
      <c r="J739" s="61"/>
      <c r="K739" s="89"/>
      <c r="L739" s="64"/>
    </row>
    <row r="740" spans="1:12" ht="18" customHeight="1" x14ac:dyDescent="0.2">
      <c r="A740" s="60"/>
      <c r="B740" s="61"/>
      <c r="C740" s="139"/>
      <c r="D740" s="63"/>
      <c r="E740" s="63"/>
      <c r="F740" s="64"/>
      <c r="G740" s="61"/>
      <c r="H740" s="62"/>
      <c r="I740" s="67"/>
      <c r="J740" s="61"/>
      <c r="K740" s="89"/>
      <c r="L740" s="64"/>
    </row>
    <row r="741" spans="1:12" ht="18" customHeight="1" x14ac:dyDescent="0.2">
      <c r="A741" s="60"/>
      <c r="B741" s="61"/>
      <c r="C741" s="139"/>
      <c r="D741" s="63"/>
      <c r="E741" s="63"/>
      <c r="F741" s="64"/>
      <c r="G741" s="61"/>
      <c r="H741" s="62"/>
      <c r="I741" s="67"/>
      <c r="J741" s="61"/>
      <c r="K741" s="89"/>
      <c r="L741" s="64"/>
    </row>
    <row r="742" spans="1:12" ht="18" customHeight="1" x14ac:dyDescent="0.2">
      <c r="A742" s="60"/>
      <c r="B742" s="61"/>
      <c r="C742" s="139"/>
      <c r="D742" s="63"/>
      <c r="E742" s="63"/>
      <c r="F742" s="64"/>
      <c r="G742" s="61"/>
      <c r="H742" s="62"/>
      <c r="I742" s="67"/>
      <c r="J742" s="61"/>
      <c r="K742" s="89"/>
      <c r="L742" s="64"/>
    </row>
    <row r="743" spans="1:12" ht="18" customHeight="1" x14ac:dyDescent="0.2">
      <c r="A743" s="60"/>
      <c r="B743" s="61"/>
      <c r="C743" s="139"/>
      <c r="D743" s="63"/>
      <c r="E743" s="63"/>
      <c r="F743" s="64"/>
      <c r="G743" s="61"/>
      <c r="H743" s="62"/>
      <c r="I743" s="67"/>
      <c r="J743" s="61"/>
      <c r="K743" s="89"/>
      <c r="L743" s="64"/>
    </row>
    <row r="744" spans="1:12" ht="18" customHeight="1" x14ac:dyDescent="0.2">
      <c r="A744" s="60"/>
      <c r="B744" s="61"/>
      <c r="C744" s="139"/>
      <c r="D744" s="63"/>
      <c r="E744" s="63"/>
      <c r="F744" s="64"/>
      <c r="G744" s="61"/>
      <c r="H744" s="62"/>
      <c r="I744" s="67"/>
      <c r="J744" s="61"/>
      <c r="K744" s="89"/>
      <c r="L744" s="64"/>
    </row>
    <row r="745" spans="1:12" ht="18" customHeight="1" x14ac:dyDescent="0.2">
      <c r="A745" s="60"/>
      <c r="B745" s="61"/>
      <c r="C745" s="139"/>
      <c r="D745" s="63"/>
      <c r="E745" s="63"/>
      <c r="F745" s="64"/>
      <c r="G745" s="61"/>
      <c r="H745" s="62"/>
      <c r="I745" s="67"/>
      <c r="J745" s="61"/>
      <c r="K745" s="89"/>
      <c r="L745" s="64"/>
    </row>
    <row r="746" spans="1:12" ht="18" customHeight="1" x14ac:dyDescent="0.2">
      <c r="A746" s="60"/>
      <c r="B746" s="61"/>
      <c r="C746" s="139"/>
      <c r="D746" s="63"/>
      <c r="E746" s="63"/>
      <c r="F746" s="64"/>
      <c r="G746" s="61"/>
      <c r="H746" s="62"/>
      <c r="I746" s="67"/>
      <c r="J746" s="61"/>
      <c r="K746" s="89"/>
      <c r="L746" s="64"/>
    </row>
    <row r="747" spans="1:12" ht="18" customHeight="1" x14ac:dyDescent="0.2">
      <c r="A747" s="60"/>
      <c r="B747" s="61"/>
      <c r="D747" s="63"/>
      <c r="E747" s="63"/>
      <c r="F747" s="64"/>
      <c r="G747" s="61"/>
      <c r="H747" s="62"/>
      <c r="I747" s="67"/>
      <c r="J747" s="61"/>
      <c r="K747" s="89"/>
      <c r="L747" s="64"/>
    </row>
    <row r="748" spans="1:12" ht="18" customHeight="1" x14ac:dyDescent="0.2">
      <c r="A748" s="60"/>
      <c r="B748" s="61"/>
      <c r="C748" s="139"/>
      <c r="D748" s="63"/>
      <c r="E748" s="63"/>
      <c r="F748" s="64"/>
      <c r="G748" s="61"/>
      <c r="H748" s="62"/>
      <c r="I748" s="89"/>
      <c r="J748" s="61"/>
      <c r="K748" s="89"/>
      <c r="L748" s="64"/>
    </row>
    <row r="749" spans="1:12" ht="18" customHeight="1" x14ac:dyDescent="0.2">
      <c r="A749" s="60"/>
      <c r="B749" s="61"/>
      <c r="C749" s="139"/>
      <c r="D749" s="63"/>
      <c r="E749" s="63"/>
      <c r="F749" s="64"/>
      <c r="G749" s="61"/>
      <c r="H749" s="62"/>
      <c r="I749" s="89"/>
      <c r="J749" s="61"/>
      <c r="K749" s="89"/>
      <c r="L749" s="64"/>
    </row>
    <row r="750" spans="1:12" ht="18" customHeight="1" x14ac:dyDescent="0.2">
      <c r="A750" s="60"/>
      <c r="B750" s="61"/>
      <c r="C750" s="139"/>
      <c r="D750" s="63"/>
      <c r="E750" s="63"/>
      <c r="F750" s="64"/>
      <c r="G750" s="61"/>
      <c r="H750" s="62"/>
      <c r="I750" s="89"/>
      <c r="J750" s="61"/>
      <c r="K750" s="89"/>
      <c r="L750" s="64"/>
    </row>
    <row r="751" spans="1:12" ht="18" customHeight="1" x14ac:dyDescent="0.2">
      <c r="A751" s="60"/>
      <c r="B751" s="61"/>
      <c r="C751" s="139"/>
      <c r="D751" s="63"/>
      <c r="E751" s="63"/>
      <c r="F751" s="64"/>
      <c r="G751" s="61"/>
      <c r="H751" s="62"/>
      <c r="I751" s="89"/>
      <c r="J751" s="61"/>
      <c r="K751" s="89"/>
      <c r="L751" s="64"/>
    </row>
    <row r="752" spans="1:12" ht="18" customHeight="1" x14ac:dyDescent="0.2">
      <c r="A752" s="60"/>
      <c r="B752" s="61"/>
      <c r="C752" s="139"/>
      <c r="D752" s="63"/>
      <c r="E752" s="63"/>
      <c r="F752" s="64"/>
      <c r="G752" s="61"/>
      <c r="H752" s="62"/>
      <c r="I752" s="89"/>
      <c r="J752" s="61"/>
      <c r="K752" s="89"/>
      <c r="L752" s="64"/>
    </row>
    <row r="753" spans="1:12" ht="18" customHeight="1" x14ac:dyDescent="0.2">
      <c r="A753" s="60"/>
      <c r="B753" s="61"/>
      <c r="C753" s="139"/>
      <c r="D753" s="63"/>
      <c r="E753" s="63"/>
      <c r="F753" s="64"/>
      <c r="G753" s="61"/>
      <c r="H753" s="62"/>
      <c r="I753" s="89"/>
      <c r="J753" s="61"/>
      <c r="K753" s="89"/>
      <c r="L753" s="64"/>
    </row>
    <row r="754" spans="1:12" ht="18" customHeight="1" x14ac:dyDescent="0.2">
      <c r="A754" s="60"/>
      <c r="B754" s="61"/>
      <c r="C754" s="139"/>
      <c r="D754" s="63"/>
      <c r="E754" s="63"/>
      <c r="F754" s="64"/>
      <c r="G754" s="61"/>
      <c r="H754" s="62"/>
      <c r="I754" s="89"/>
      <c r="J754" s="61"/>
      <c r="K754" s="89"/>
      <c r="L754" s="64"/>
    </row>
    <row r="755" spans="1:12" ht="18" customHeight="1" x14ac:dyDescent="0.2">
      <c r="A755" s="60"/>
      <c r="B755" s="61"/>
      <c r="C755" s="139"/>
      <c r="D755" s="63"/>
      <c r="E755" s="63"/>
      <c r="F755" s="64"/>
      <c r="G755" s="91"/>
      <c r="H755" s="62"/>
      <c r="I755" s="89"/>
      <c r="J755" s="61"/>
      <c r="K755" s="89"/>
      <c r="L755" s="64"/>
    </row>
    <row r="756" spans="1:12" ht="18" customHeight="1" x14ac:dyDescent="0.2">
      <c r="A756" s="60"/>
      <c r="B756" s="61"/>
      <c r="C756" s="139"/>
      <c r="D756" s="63"/>
      <c r="E756" s="63"/>
      <c r="F756" s="64"/>
      <c r="G756" s="91"/>
      <c r="H756" s="62"/>
      <c r="I756" s="89"/>
      <c r="J756" s="61"/>
      <c r="K756" s="89"/>
      <c r="L756" s="64"/>
    </row>
    <row r="757" spans="1:12" ht="18" customHeight="1" x14ac:dyDescent="0.2">
      <c r="A757" s="60"/>
      <c r="B757" s="61"/>
      <c r="C757" s="139"/>
      <c r="D757" s="63"/>
      <c r="E757" s="63"/>
      <c r="F757" s="64"/>
      <c r="G757" s="61"/>
      <c r="H757" s="62"/>
      <c r="I757" s="89"/>
      <c r="J757" s="61"/>
      <c r="K757" s="89"/>
      <c r="L757" s="64"/>
    </row>
    <row r="758" spans="1:12" ht="18" customHeight="1" x14ac:dyDescent="0.2">
      <c r="A758" s="60"/>
      <c r="B758" s="61"/>
      <c r="C758" s="139"/>
      <c r="D758" s="63"/>
      <c r="E758" s="63"/>
      <c r="F758" s="64"/>
      <c r="G758" s="61"/>
      <c r="H758" s="62"/>
      <c r="I758" s="89"/>
      <c r="J758" s="61"/>
      <c r="K758" s="89"/>
      <c r="L758" s="64"/>
    </row>
    <row r="759" spans="1:12" ht="18" customHeight="1" x14ac:dyDescent="0.2">
      <c r="A759" s="60"/>
      <c r="B759" s="61"/>
      <c r="C759" s="139"/>
      <c r="D759" s="63"/>
      <c r="E759" s="63"/>
      <c r="F759" s="64"/>
      <c r="G759" s="61"/>
      <c r="H759" s="62"/>
      <c r="I759" s="89"/>
      <c r="J759" s="61"/>
      <c r="K759" s="89"/>
      <c r="L759" s="64"/>
    </row>
    <row r="760" spans="1:12" ht="18" customHeight="1" x14ac:dyDescent="0.2">
      <c r="A760" s="60"/>
      <c r="B760" s="61"/>
      <c r="C760" s="139"/>
      <c r="D760" s="63"/>
      <c r="E760" s="63"/>
      <c r="F760" s="64"/>
      <c r="G760" s="61"/>
      <c r="H760" s="62"/>
      <c r="I760" s="89"/>
      <c r="J760" s="61"/>
      <c r="K760" s="89"/>
      <c r="L760" s="64"/>
    </row>
    <row r="761" spans="1:12" ht="18" customHeight="1" x14ac:dyDescent="0.2">
      <c r="A761" s="60"/>
      <c r="B761" s="61"/>
      <c r="C761" s="139"/>
      <c r="D761" s="63"/>
      <c r="E761" s="63"/>
      <c r="F761" s="64"/>
      <c r="G761" s="61"/>
      <c r="H761" s="62"/>
      <c r="I761" s="89"/>
      <c r="J761" s="61"/>
      <c r="K761" s="89"/>
      <c r="L761" s="64"/>
    </row>
    <row r="762" spans="1:12" ht="18" customHeight="1" x14ac:dyDescent="0.2">
      <c r="A762" s="60"/>
      <c r="B762" s="61"/>
      <c r="C762" s="139"/>
      <c r="D762" s="63"/>
      <c r="E762" s="63"/>
      <c r="F762" s="64"/>
      <c r="G762" s="61"/>
      <c r="H762" s="62"/>
      <c r="I762" s="89"/>
      <c r="J762" s="61"/>
      <c r="K762" s="89"/>
      <c r="L762" s="64"/>
    </row>
    <row r="763" spans="1:12" ht="18" customHeight="1" x14ac:dyDescent="0.2">
      <c r="A763" s="60"/>
      <c r="B763" s="61"/>
      <c r="C763" s="139"/>
      <c r="D763" s="63"/>
      <c r="E763" s="63"/>
      <c r="F763" s="64"/>
      <c r="G763" s="61"/>
      <c r="H763" s="62"/>
      <c r="I763" s="89"/>
      <c r="J763" s="61"/>
      <c r="K763" s="89"/>
      <c r="L763" s="64"/>
    </row>
    <row r="764" spans="1:12" ht="18" customHeight="1" x14ac:dyDescent="0.2">
      <c r="A764" s="60"/>
      <c r="B764" s="61"/>
      <c r="C764" s="139"/>
      <c r="D764" s="63"/>
      <c r="E764" s="63"/>
      <c r="F764" s="64"/>
      <c r="G764" s="61"/>
      <c r="H764" s="62"/>
      <c r="I764" s="89"/>
      <c r="J764" s="61"/>
      <c r="K764" s="89"/>
      <c r="L764" s="64"/>
    </row>
    <row r="765" spans="1:12" ht="18" customHeight="1" x14ac:dyDescent="0.2">
      <c r="A765" s="60"/>
      <c r="B765" s="61"/>
      <c r="C765" s="139"/>
      <c r="D765" s="63"/>
      <c r="E765" s="63"/>
      <c r="F765" s="64"/>
      <c r="G765" s="61"/>
      <c r="H765" s="62"/>
      <c r="I765" s="89"/>
      <c r="J765" s="61"/>
      <c r="K765" s="89"/>
      <c r="L765" s="64"/>
    </row>
    <row r="766" spans="1:12" ht="18" customHeight="1" x14ac:dyDescent="0.2">
      <c r="A766" s="60"/>
      <c r="B766" s="61"/>
      <c r="C766" s="139"/>
      <c r="D766" s="63"/>
      <c r="E766" s="63"/>
      <c r="F766" s="64"/>
      <c r="G766" s="61"/>
      <c r="H766" s="62"/>
      <c r="I766" s="89"/>
      <c r="J766" s="61"/>
      <c r="K766" s="89"/>
      <c r="L766" s="64"/>
    </row>
    <row r="767" spans="1:12" ht="18" customHeight="1" x14ac:dyDescent="0.2">
      <c r="A767" s="60"/>
      <c r="B767" s="61"/>
      <c r="C767" s="139"/>
      <c r="D767" s="63"/>
      <c r="E767" s="63"/>
      <c r="F767" s="64"/>
      <c r="G767" s="61"/>
      <c r="H767" s="62"/>
      <c r="I767" s="89"/>
      <c r="J767" s="61"/>
      <c r="K767" s="89"/>
      <c r="L767" s="64"/>
    </row>
    <row r="768" spans="1:12" ht="18" customHeight="1" x14ac:dyDescent="0.2">
      <c r="A768" s="60"/>
      <c r="B768" s="61"/>
      <c r="C768" s="139"/>
      <c r="D768" s="63"/>
      <c r="E768" s="63"/>
      <c r="F768" s="64"/>
      <c r="G768" s="61"/>
      <c r="H768" s="62"/>
      <c r="I768" s="89"/>
      <c r="J768" s="61"/>
      <c r="K768" s="89"/>
      <c r="L768" s="64"/>
    </row>
    <row r="769" spans="1:12" ht="18" customHeight="1" x14ac:dyDescent="0.2">
      <c r="A769" s="60"/>
      <c r="B769" s="61"/>
      <c r="C769" s="139"/>
      <c r="D769" s="63"/>
      <c r="E769" s="63"/>
      <c r="F769" s="64"/>
      <c r="G769" s="61"/>
      <c r="H769" s="62"/>
      <c r="I769" s="89"/>
      <c r="J769" s="61"/>
      <c r="K769" s="89"/>
      <c r="L769" s="64"/>
    </row>
    <row r="770" spans="1:12" ht="18" customHeight="1" x14ac:dyDescent="0.2">
      <c r="A770" s="60"/>
      <c r="B770" s="61"/>
      <c r="C770" s="139"/>
      <c r="D770" s="63"/>
      <c r="E770" s="63"/>
      <c r="F770" s="64"/>
      <c r="G770" s="61"/>
      <c r="H770" s="62"/>
      <c r="I770" s="89"/>
      <c r="J770" s="61"/>
      <c r="K770" s="89"/>
      <c r="L770" s="64"/>
    </row>
    <row r="771" spans="1:12" ht="18" customHeight="1" x14ac:dyDescent="0.2">
      <c r="A771" s="60"/>
      <c r="B771" s="61"/>
      <c r="C771" s="139"/>
      <c r="D771" s="61"/>
      <c r="E771" s="61"/>
      <c r="F771" s="64"/>
      <c r="G771" s="61"/>
      <c r="H771" s="62"/>
      <c r="I771" s="89"/>
      <c r="J771" s="61"/>
      <c r="K771" s="89"/>
      <c r="L771" s="64"/>
    </row>
    <row r="772" spans="1:12" ht="18" customHeight="1" x14ac:dyDescent="0.2">
      <c r="A772" s="60"/>
      <c r="B772" s="61"/>
      <c r="C772" s="139"/>
      <c r="D772" s="61"/>
      <c r="E772" s="61"/>
      <c r="F772" s="64"/>
      <c r="G772" s="61"/>
      <c r="H772" s="62"/>
      <c r="I772" s="89"/>
      <c r="J772" s="61"/>
      <c r="K772" s="89"/>
      <c r="L772" s="64"/>
    </row>
    <row r="773" spans="1:12" ht="18" customHeight="1" x14ac:dyDescent="0.2">
      <c r="A773" s="60"/>
      <c r="B773" s="61"/>
      <c r="C773" s="139"/>
      <c r="D773" s="61"/>
      <c r="E773" s="61"/>
      <c r="F773" s="64"/>
      <c r="G773" s="61"/>
      <c r="H773" s="62"/>
      <c r="I773" s="89"/>
      <c r="J773" s="61"/>
      <c r="K773" s="89"/>
      <c r="L773" s="64"/>
    </row>
    <row r="774" spans="1:12" ht="18" customHeight="1" x14ac:dyDescent="0.2">
      <c r="A774" s="60"/>
      <c r="B774" s="61"/>
      <c r="C774" s="139"/>
      <c r="D774" s="61"/>
      <c r="E774" s="61"/>
      <c r="F774" s="64"/>
      <c r="G774" s="61"/>
      <c r="H774" s="62"/>
      <c r="I774" s="89"/>
      <c r="J774" s="61"/>
      <c r="K774" s="89"/>
      <c r="L774" s="64"/>
    </row>
    <row r="775" spans="1:12" ht="18" customHeight="1" x14ac:dyDescent="0.2">
      <c r="A775" s="60"/>
      <c r="B775" s="61"/>
      <c r="C775" s="139"/>
      <c r="D775" s="61"/>
      <c r="E775" s="61"/>
      <c r="F775" s="64"/>
      <c r="G775" s="61"/>
      <c r="H775" s="62"/>
      <c r="I775" s="89"/>
      <c r="J775" s="61"/>
      <c r="K775" s="89"/>
      <c r="L775" s="64"/>
    </row>
    <row r="776" spans="1:12" ht="18" customHeight="1" x14ac:dyDescent="0.2">
      <c r="A776" s="60"/>
      <c r="B776" s="61"/>
      <c r="C776" s="139"/>
      <c r="D776" s="61"/>
      <c r="E776" s="61"/>
      <c r="F776" s="64"/>
      <c r="G776" s="61"/>
      <c r="H776" s="62"/>
      <c r="I776" s="89"/>
      <c r="J776" s="61"/>
      <c r="K776" s="89"/>
      <c r="L776" s="64"/>
    </row>
    <row r="777" spans="1:12" ht="18" customHeight="1" x14ac:dyDescent="0.2">
      <c r="A777" s="60"/>
      <c r="B777" s="61"/>
      <c r="C777" s="139"/>
      <c r="D777" s="61"/>
      <c r="E777" s="61"/>
      <c r="F777" s="64"/>
      <c r="G777" s="61"/>
      <c r="H777" s="62"/>
      <c r="I777" s="89"/>
      <c r="J777" s="61"/>
      <c r="K777" s="89"/>
      <c r="L777" s="64"/>
    </row>
    <row r="778" spans="1:12" ht="12.5" customHeight="1" x14ac:dyDescent="0.2">
      <c r="A778" s="93"/>
      <c r="C778" s="147"/>
      <c r="D778" s="95"/>
      <c r="E778" s="95"/>
      <c r="F778" s="96"/>
      <c r="G778" s="95"/>
      <c r="H778" s="94"/>
      <c r="I778" s="97"/>
      <c r="J778" s="95"/>
      <c r="K778" s="97"/>
      <c r="L778" s="96"/>
    </row>
    <row r="780" spans="1:12" ht="14" thickBot="1" x14ac:dyDescent="0.25">
      <c r="K780" s="100">
        <f>SUBTOTAL(9,K5:K777)</f>
        <v>0</v>
      </c>
    </row>
  </sheetData>
  <protectedRanges>
    <protectedRange sqref="F511:F512" name="Range1"/>
  </protectedRanges>
  <autoFilter ref="A4:L476" xr:uid="{00000000-0001-0000-0000-000000000000}"/>
  <phoneticPr fontId="43" type="noConversion"/>
  <conditionalFormatting sqref="A29:B175 K133:K150 G146:H152">
    <cfRule type="expression" dxfId="68" priority="27" stopIfTrue="1">
      <formula>AND(COUNTIF(#REF!,A29)&gt;1,NOT(ISBLANK(A29)))</formula>
    </cfRule>
  </conditionalFormatting>
  <conditionalFormatting sqref="A4:C4 D6:E578 C459:C463 F577:F579 C598:E601 C632 B681:C681">
    <cfRule type="expression" dxfId="67" priority="110" stopIfTrue="1">
      <formula>AND(COUNTIF(#REF!,A4)&gt;1,NOT(ISBLANK(A4)))</formula>
    </cfRule>
  </conditionalFormatting>
  <conditionalFormatting sqref="A5:E5">
    <cfRule type="expression" dxfId="66" priority="88" stopIfTrue="1">
      <formula>AND(COUNTIF(#REF!,A5)&gt;1,NOT(ISBLANK(A5)))</formula>
    </cfRule>
  </conditionalFormatting>
  <conditionalFormatting sqref="B251:B310">
    <cfRule type="expression" dxfId="65" priority="79" stopIfTrue="1">
      <formula>AND(COUNTIF(#REF!,B251)&gt;1,NOT(ISBLANK(B251)))</formula>
    </cfRule>
  </conditionalFormatting>
  <conditionalFormatting sqref="B372:B402">
    <cfRule type="expression" dxfId="64" priority="67" stopIfTrue="1">
      <formula>AND(COUNTIF(#REF!,B372)&gt;1,NOT(ISBLANK(B372)))</formula>
    </cfRule>
  </conditionalFormatting>
  <conditionalFormatting sqref="B406:B464">
    <cfRule type="expression" dxfId="63" priority="61" stopIfTrue="1">
      <formula>AND(COUNTIF(#REF!,B406)&gt;1,NOT(ISBLANK(B406)))</formula>
    </cfRule>
  </conditionalFormatting>
  <conditionalFormatting sqref="B468">
    <cfRule type="expression" dxfId="62" priority="55" stopIfTrue="1">
      <formula>AND(COUNTIF(#REF!,B468)&gt;1,NOT(ISBLANK(B468)))</formula>
    </cfRule>
  </conditionalFormatting>
  <conditionalFormatting sqref="B494:B522">
    <cfRule type="expression" dxfId="61" priority="52" stopIfTrue="1">
      <formula>AND(COUNTIF(#REF!,B494)&gt;1,NOT(ISBLANK(B494)))</formula>
    </cfRule>
  </conditionalFormatting>
  <conditionalFormatting sqref="B176:C178 A176:A247 B179:B247 B248:C250 B311:C313 B314:B368 B369:C371 B403:C405 G465:K466 B465:C467 G467:I467 B469:C493 C494:C495 C497:C506 C508:C512 C514:C518 C520:C522 B523:C525 J525:K573 G526:H573 B526:B637 C563:C578 A778:E778">
    <cfRule type="expression" dxfId="60" priority="84" stopIfTrue="1">
      <formula>AND(COUNTIF(#REF!,A176)&gt;1,NOT(ISBLANK(A176)))</formula>
    </cfRule>
  </conditionalFormatting>
  <conditionalFormatting sqref="B683:C696">
    <cfRule type="expression" dxfId="59" priority="100" stopIfTrue="1">
      <formula>AND(COUNTIF(#REF!,B683)&gt;1,NOT(ISBLANK(B683)))</formula>
    </cfRule>
  </conditionalFormatting>
  <conditionalFormatting sqref="B699:C701">
    <cfRule type="expression" dxfId="58" priority="99" stopIfTrue="1">
      <formula>AND(COUNTIF(#REF!,B699)&gt;1,NOT(ISBLANK(B699)))</formula>
    </cfRule>
  </conditionalFormatting>
  <conditionalFormatting sqref="B705:C713 B715:C744 B746:C747">
    <cfRule type="expression" dxfId="57" priority="98" stopIfTrue="1">
      <formula>AND(COUNTIF(#REF!,B705)&gt;1,NOT(ISBLANK(B705)))</formula>
    </cfRule>
  </conditionalFormatting>
  <conditionalFormatting sqref="C526:C538">
    <cfRule type="expression" dxfId="56" priority="47" stopIfTrue="1">
      <formula>AND(COUNTIF(#REF!,C526)&gt;1,NOT(ISBLANK(C526)))</formula>
    </cfRule>
  </conditionalFormatting>
  <conditionalFormatting sqref="C540:C542">
    <cfRule type="expression" dxfId="55" priority="49" stopIfTrue="1">
      <formula>AND(COUNTIF(#REF!,C540)&gt;1,NOT(ISBLANK(C540)))</formula>
    </cfRule>
  </conditionalFormatting>
  <conditionalFormatting sqref="C545:C549">
    <cfRule type="expression" dxfId="54" priority="46" stopIfTrue="1">
      <formula>AND(COUNTIF(#REF!,C545)&gt;1,NOT(ISBLANK(C545)))</formula>
    </cfRule>
  </conditionalFormatting>
  <conditionalFormatting sqref="C551:C553">
    <cfRule type="expression" dxfId="53" priority="48" stopIfTrue="1">
      <formula>AND(COUNTIF(#REF!,C551)&gt;1,NOT(ISBLANK(C551)))</formula>
    </cfRule>
  </conditionalFormatting>
  <conditionalFormatting sqref="C555:C560">
    <cfRule type="expression" dxfId="52" priority="45" stopIfTrue="1">
      <formula>AND(COUNTIF(#REF!,C555)&gt;1,NOT(ISBLANK(C555)))</formula>
    </cfRule>
  </conditionalFormatting>
  <conditionalFormatting sqref="C588:C589 C591:C595">
    <cfRule type="expression" dxfId="51" priority="108" stopIfTrue="1">
      <formula>AND(COUNTIF(#REF!,C588)&gt;1,NOT(ISBLANK(C588)))</formula>
    </cfRule>
  </conditionalFormatting>
  <conditionalFormatting sqref="C609:C612">
    <cfRule type="expression" dxfId="50" priority="105" stopIfTrue="1">
      <formula>AND(COUNTIF(#REF!,C609)&gt;1,NOT(ISBLANK(C609)))</formula>
    </cfRule>
  </conditionalFormatting>
  <conditionalFormatting sqref="C614:C624">
    <cfRule type="expression" dxfId="49" priority="104" stopIfTrue="1">
      <formula>AND(COUNTIF(#REF!,C614)&gt;1,NOT(ISBLANK(C614)))</formula>
    </cfRule>
  </conditionalFormatting>
  <conditionalFormatting sqref="C635:C641 C644:C646">
    <cfRule type="expression" dxfId="48" priority="103" stopIfTrue="1">
      <formula>AND(COUNTIF(#REF!,C635)&gt;1,NOT(ISBLANK(C635)))</formula>
    </cfRule>
  </conditionalFormatting>
  <conditionalFormatting sqref="C648:C649">
    <cfRule type="expression" dxfId="47" priority="102" stopIfTrue="1">
      <formula>AND(COUNTIF(#REF!,C648)&gt;1,NOT(ISBLANK(C648)))</formula>
    </cfRule>
  </conditionalFormatting>
  <conditionalFormatting sqref="C651:C653">
    <cfRule type="expression" dxfId="46" priority="101" stopIfTrue="1">
      <formula>AND(COUNTIF(#REF!,C651)&gt;1,NOT(ISBLANK(C651)))</formula>
    </cfRule>
  </conditionalFormatting>
  <conditionalFormatting sqref="C581:E586 D588:E595">
    <cfRule type="expression" dxfId="45" priority="42" stopIfTrue="1">
      <formula>AND(COUNTIF(#REF!,C581)&gt;1,NOT(ISBLANK(C581)))</formula>
    </cfRule>
  </conditionalFormatting>
  <conditionalFormatting sqref="C604:E605">
    <cfRule type="expression" dxfId="44" priority="41" stopIfTrue="1">
      <formula>AND(COUNTIF(#REF!,C604)&gt;1,NOT(ISBLANK(C604)))</formula>
    </cfRule>
  </conditionalFormatting>
  <conditionalFormatting sqref="D607:E607">
    <cfRule type="expression" dxfId="43" priority="40" stopIfTrue="1">
      <formula>AND(COUNTIF(#REF!,D607)&gt;1,NOT(ISBLANK(D607)))</formula>
    </cfRule>
  </conditionalFormatting>
  <conditionalFormatting sqref="D609:E770">
    <cfRule type="expression" dxfId="42" priority="39" stopIfTrue="1">
      <formula>AND(COUNTIF(#REF!,D609)&gt;1,NOT(ISBLANK(D609)))</formula>
    </cfRule>
  </conditionalFormatting>
  <conditionalFormatting sqref="F581:F612">
    <cfRule type="expression" dxfId="41" priority="38" stopIfTrue="1">
      <formula>AND(COUNTIF(#REF!,F581)&gt;1,NOT(ISBLANK(F581)))</formula>
    </cfRule>
  </conditionalFormatting>
  <conditionalFormatting sqref="G577:G612">
    <cfRule type="expression" dxfId="40" priority="44" stopIfTrue="1">
      <formula>AND(COUNTIF(#REF!,G577)&gt;1,NOT(ISBLANK(G577)))</formula>
    </cfRule>
  </conditionalFormatting>
  <conditionalFormatting sqref="G154:H168">
    <cfRule type="expression" dxfId="39" priority="6" stopIfTrue="1">
      <formula>AND(COUNTIF(#REF!,G154)&gt;1,NOT(ISBLANK(G154)))</formula>
    </cfRule>
  </conditionalFormatting>
  <conditionalFormatting sqref="G170:H171">
    <cfRule type="expression" dxfId="38" priority="2" stopIfTrue="1">
      <formula>AND(COUNTIF(#REF!,G170)&gt;1,NOT(ISBLANK(G170)))</formula>
    </cfRule>
  </conditionalFormatting>
  <conditionalFormatting sqref="G179:H247">
    <cfRule type="expression" dxfId="37" priority="83" stopIfTrue="1">
      <formula>AND(COUNTIF(#REF!,G179)&gt;1,NOT(ISBLANK(G179)))</formula>
    </cfRule>
  </conditionalFormatting>
  <conditionalFormatting sqref="G251:H310">
    <cfRule type="expression" dxfId="36" priority="75" stopIfTrue="1">
      <formula>AND(COUNTIF(#REF!,G251)&gt;1,NOT(ISBLANK(G251)))</formula>
    </cfRule>
  </conditionalFormatting>
  <conditionalFormatting sqref="G314:H368">
    <cfRule type="expression" dxfId="35" priority="71" stopIfTrue="1">
      <formula>AND(COUNTIF(#REF!,G314)&gt;1,NOT(ISBLANK(G314)))</formula>
    </cfRule>
  </conditionalFormatting>
  <conditionalFormatting sqref="G372:H402">
    <cfRule type="expression" dxfId="34" priority="65" stopIfTrue="1">
      <formula>AND(COUNTIF(#REF!,G372)&gt;1,NOT(ISBLANK(G372)))</formula>
    </cfRule>
  </conditionalFormatting>
  <conditionalFormatting sqref="G406:H464">
    <cfRule type="expression" dxfId="33" priority="59" stopIfTrue="1">
      <formula>AND(COUNTIF(#REF!,G406)&gt;1,NOT(ISBLANK(G406)))</formula>
    </cfRule>
  </conditionalFormatting>
  <conditionalFormatting sqref="G87:I111 G113:H114 H115:H119 G116:G119 G120:H131 H132 G133:H140 G141:I145 H153 G172:I175">
    <cfRule type="expression" dxfId="32" priority="31" stopIfTrue="1">
      <formula>AND(COUNTIF(#REF!,G87)&gt;1,NOT(ISBLANK(G87)))</formula>
    </cfRule>
  </conditionalFormatting>
  <conditionalFormatting sqref="G169:I169">
    <cfRule type="expression" dxfId="31" priority="5" stopIfTrue="1">
      <formula>AND(COUNTIF(#REF!,G169)&gt;1,NOT(ISBLANK(G169)))</formula>
    </cfRule>
  </conditionalFormatting>
  <conditionalFormatting sqref="G77:J77">
    <cfRule type="expression" dxfId="30" priority="32" stopIfTrue="1">
      <formula>AND(COUNTIF(#REF!,G77)&gt;1,NOT(ISBLANK(G77)))</formula>
    </cfRule>
  </conditionalFormatting>
  <conditionalFormatting sqref="G86:J86">
    <cfRule type="expression" dxfId="29" priority="89" stopIfTrue="1">
      <formula>AND(COUNTIF(#REF!,G86)&gt;1,NOT(ISBLANK(G86)))</formula>
    </cfRule>
  </conditionalFormatting>
  <conditionalFormatting sqref="G4:K37 A6:C28 C29:C64 J38:K49 G38:I55 G56:K56 G57:I76 K57:K97 G78:I85 K179:K247">
    <cfRule type="expression" dxfId="28" priority="93" stopIfTrue="1">
      <formula>AND(COUNTIF(#REF!,A4)&gt;1,NOT(ISBLANK(A4)))</formula>
    </cfRule>
  </conditionalFormatting>
  <conditionalFormatting sqref="G176:K178">
    <cfRule type="expression" dxfId="27" priority="81" stopIfTrue="1">
      <formula>AND(COUNTIF(#REF!,G176)&gt;1,NOT(ISBLANK(G176)))</formula>
    </cfRule>
  </conditionalFormatting>
  <conditionalFormatting sqref="G248:K250">
    <cfRule type="expression" dxfId="26" priority="78" stopIfTrue="1">
      <formula>AND(COUNTIF(#REF!,G248)&gt;1,NOT(ISBLANK(G248)))</formula>
    </cfRule>
  </conditionalFormatting>
  <conditionalFormatting sqref="G311:K313">
    <cfRule type="expression" dxfId="25" priority="74" stopIfTrue="1">
      <formula>AND(COUNTIF(#REF!,G311)&gt;1,NOT(ISBLANK(G311)))</formula>
    </cfRule>
  </conditionalFormatting>
  <conditionalFormatting sqref="G369:K371">
    <cfRule type="expression" dxfId="24" priority="69" stopIfTrue="1">
      <formula>AND(COUNTIF(#REF!,G369)&gt;1,NOT(ISBLANK(G369)))</formula>
    </cfRule>
  </conditionalFormatting>
  <conditionalFormatting sqref="G403:K405">
    <cfRule type="expression" dxfId="23" priority="63" stopIfTrue="1">
      <formula>AND(COUNTIF(#REF!,G403)&gt;1,NOT(ISBLANK(G403)))</formula>
    </cfRule>
  </conditionalFormatting>
  <conditionalFormatting sqref="G523:K524 G525:I525">
    <cfRule type="expression" dxfId="22" priority="51" stopIfTrue="1">
      <formula>AND(COUNTIF(#REF!,G523)&gt;1,NOT(ISBLANK(G523)))</formula>
    </cfRule>
  </conditionalFormatting>
  <conditionalFormatting sqref="G574:K576">
    <cfRule type="expression" dxfId="21" priority="36" stopIfTrue="1">
      <formula>AND(COUNTIF(#REF!,G574)&gt;1,NOT(ISBLANK(G574)))</formula>
    </cfRule>
  </conditionalFormatting>
  <conditionalFormatting sqref="I140">
    <cfRule type="expression" dxfId="20" priority="25" stopIfTrue="1">
      <formula>AND(COUNTIF(#REF!,I140)&gt;1,NOT(ISBLANK(I140)))</formula>
    </cfRule>
  </conditionalFormatting>
  <conditionalFormatting sqref="I160">
    <cfRule type="expression" dxfId="19" priority="12" stopIfTrue="1">
      <formula>AND(COUNTIF(#REF!,I160)&gt;1,NOT(ISBLANK(I160)))</formula>
    </cfRule>
  </conditionalFormatting>
  <conditionalFormatting sqref="I179:I246">
    <cfRule type="expression" dxfId="18" priority="86" stopIfTrue="1">
      <formula>AND(COUNTIF(#REF!,I179)&gt;1,NOT(ISBLANK(I179)))</formula>
    </cfRule>
  </conditionalFormatting>
  <conditionalFormatting sqref="J139">
    <cfRule type="expression" dxfId="17" priority="26" stopIfTrue="1">
      <formula>AND(COUNTIF(#REF!,J139)&gt;1,NOT(ISBLANK(J139)))</formula>
    </cfRule>
  </conditionalFormatting>
  <conditionalFormatting sqref="J146:J147">
    <cfRule type="expression" dxfId="16" priority="24" stopIfTrue="1">
      <formula>AND(COUNTIF(#REF!,J146)&gt;1,NOT(ISBLANK(J146)))</formula>
    </cfRule>
  </conditionalFormatting>
  <conditionalFormatting sqref="J154:J158">
    <cfRule type="expression" dxfId="15" priority="14" stopIfTrue="1">
      <formula>AND(COUNTIF(#REF!,J154)&gt;1,NOT(ISBLANK(J154)))</formula>
    </cfRule>
  </conditionalFormatting>
  <conditionalFormatting sqref="J161">
    <cfRule type="expression" dxfId="14" priority="11" stopIfTrue="1">
      <formula>AND(COUNTIF(#REF!,J161)&gt;1,NOT(ISBLANK(J161)))</formula>
    </cfRule>
  </conditionalFormatting>
  <conditionalFormatting sqref="J166">
    <cfRule type="expression" dxfId="13" priority="8" stopIfTrue="1">
      <formula>AND(COUNTIF(#REF!,J166)&gt;1,NOT(ISBLANK(J166)))</formula>
    </cfRule>
  </conditionalFormatting>
  <conditionalFormatting sqref="J170:J171">
    <cfRule type="expression" dxfId="12" priority="3" stopIfTrue="1">
      <formula>AND(COUNTIF(#REF!,J170)&gt;1,NOT(ISBLANK(J170)))</formula>
    </cfRule>
  </conditionalFormatting>
  <conditionalFormatting sqref="J229">
    <cfRule type="expression" dxfId="11" priority="82" stopIfTrue="1">
      <formula>AND(COUNTIF(#REF!,J229)&gt;1,NOT(ISBLANK(J229)))</formula>
    </cfRule>
  </conditionalFormatting>
  <conditionalFormatting sqref="J577:J637">
    <cfRule type="expression" dxfId="10" priority="37" stopIfTrue="1">
      <formula>AND(COUNTIF(#REF!,J577)&gt;1,NOT(ISBLANK(J577)))</formula>
    </cfRule>
  </conditionalFormatting>
  <conditionalFormatting sqref="J98:K111 J113:K114 J116:K131 J133:J137">
    <cfRule type="expression" dxfId="9" priority="91" stopIfTrue="1">
      <formula>AND(COUNTIF(#REF!,J98)&gt;1,NOT(ISBLANK(J98)))</formula>
    </cfRule>
  </conditionalFormatting>
  <conditionalFormatting sqref="J151:K152">
    <cfRule type="expression" dxfId="8" priority="22" stopIfTrue="1">
      <formula>AND(COUNTIF(#REF!,J151)&gt;1,NOT(ISBLANK(J151)))</formula>
    </cfRule>
  </conditionalFormatting>
  <conditionalFormatting sqref="J314:K367">
    <cfRule type="expression" dxfId="7" priority="72" stopIfTrue="1">
      <formula>AND(COUNTIF(#REF!,J314)&gt;1,NOT(ISBLANK(J314)))</formula>
    </cfRule>
  </conditionalFormatting>
  <conditionalFormatting sqref="J372:K402">
    <cfRule type="expression" dxfId="6" priority="66" stopIfTrue="1">
      <formula>AND(COUNTIF(#REF!,J372)&gt;1,NOT(ISBLANK(J372)))</formula>
    </cfRule>
  </conditionalFormatting>
  <conditionalFormatting sqref="J406:K464">
    <cfRule type="expression" dxfId="5" priority="60" stopIfTrue="1">
      <formula>AND(COUNTIF(#REF!,J406)&gt;1,NOT(ISBLANK(J406)))</formula>
    </cfRule>
  </conditionalFormatting>
  <conditionalFormatting sqref="J467:K522 G468:H522">
    <cfRule type="expression" dxfId="4" priority="54" stopIfTrue="1">
      <formula>AND(COUNTIF(#REF!,G467)&gt;1,NOT(ISBLANK(G467)))</formula>
    </cfRule>
  </conditionalFormatting>
  <conditionalFormatting sqref="K50:K55">
    <cfRule type="expression" dxfId="3" priority="94" stopIfTrue="1">
      <formula>AND(COUNTIF(#REF!,K50)&gt;1,NOT(ISBLANK(K50)))</formula>
    </cfRule>
  </conditionalFormatting>
  <conditionalFormatting sqref="K154:K175">
    <cfRule type="expression" dxfId="2" priority="4" stopIfTrue="1">
      <formula>AND(COUNTIF(#REF!,K154)&gt;1,NOT(ISBLANK(K154)))</formula>
    </cfRule>
  </conditionalFormatting>
  <conditionalFormatting sqref="K251:K310">
    <cfRule type="expression" dxfId="1" priority="76" stopIfTrue="1">
      <formula>AND(COUNTIF(#REF!,K251)&gt;1,NOT(ISBLANK(K251)))</formula>
    </cfRule>
  </conditionalFormatting>
  <conditionalFormatting sqref="K577:K579 K581:K588 K598:K599 G632:I632 K632 H681:K681 G778:K778">
    <cfRule type="expression" dxfId="0" priority="109" stopIfTrue="1">
      <formula>AND(COUNTIF(#REF!,G577)&gt;1,NOT(ISBLANK(G577)))</formula>
    </cfRule>
  </conditionalFormatting>
  <dataValidations count="1">
    <dataValidation type="list" allowBlank="1" showInputMessage="1" showErrorMessage="1" sqref="J5:J111 J113:J114 J116:J131 J276:J290 J293:J302 J304:J637 J133:J152 J154:J274" xr:uid="{D2CE310A-6C8A-4E33-87D6-293E8B058691}">
      <formula1>#REF!</formula1>
    </dataValidation>
  </dataValidations>
  <pageMargins left="0.22" right="0.16" top="0.5" bottom="0.5" header="0.5" footer="0.5"/>
  <pageSetup scale="35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18AE9-D6FF-8742-8AE1-B87C75ACE4C7}">
  <dimension ref="A1:Z17"/>
  <sheetViews>
    <sheetView zoomScaleNormal="100" workbookViewId="0">
      <selection activeCell="J10" sqref="J10"/>
    </sheetView>
  </sheetViews>
  <sheetFormatPr baseColWidth="10" defaultRowHeight="16" x14ac:dyDescent="0.2"/>
  <cols>
    <col min="2" max="2" width="28.1640625" bestFit="1" customWidth="1"/>
  </cols>
  <sheetData>
    <row r="1" spans="1:26" s="159" customFormat="1" ht="36" customHeight="1" x14ac:dyDescent="0.2">
      <c r="A1" s="212" t="s">
        <v>149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4"/>
    </row>
    <row r="2" spans="1:26" s="159" customFormat="1" ht="24" customHeight="1" x14ac:dyDescent="0.2">
      <c r="A2" s="224" t="s">
        <v>124</v>
      </c>
      <c r="B2" s="225" t="s">
        <v>125</v>
      </c>
      <c r="C2" s="215" t="s">
        <v>126</v>
      </c>
      <c r="D2" s="215"/>
      <c r="E2" s="215" t="s">
        <v>127</v>
      </c>
      <c r="F2" s="215"/>
      <c r="G2" s="215" t="s">
        <v>128</v>
      </c>
      <c r="H2" s="215"/>
      <c r="I2" s="215" t="s">
        <v>129</v>
      </c>
      <c r="J2" s="215"/>
      <c r="K2" s="215" t="s">
        <v>130</v>
      </c>
      <c r="L2" s="215"/>
      <c r="M2" s="220" t="s">
        <v>131</v>
      </c>
      <c r="N2" s="220"/>
      <c r="O2" s="221" t="s">
        <v>132</v>
      </c>
      <c r="P2" s="220"/>
      <c r="Q2" s="220" t="s">
        <v>133</v>
      </c>
      <c r="R2" s="220"/>
      <c r="S2" s="221" t="s">
        <v>134</v>
      </c>
      <c r="T2" s="221"/>
      <c r="U2" s="220" t="s">
        <v>135</v>
      </c>
      <c r="V2" s="220"/>
      <c r="W2" s="220" t="s">
        <v>136</v>
      </c>
      <c r="X2" s="220"/>
      <c r="Y2" s="220" t="s">
        <v>137</v>
      </c>
      <c r="Z2" s="220"/>
    </row>
    <row r="3" spans="1:26" s="164" customFormat="1" ht="24" customHeight="1" x14ac:dyDescent="0.2">
      <c r="A3" s="224"/>
      <c r="B3" s="225"/>
      <c r="C3" s="160" t="s">
        <v>138</v>
      </c>
      <c r="D3" s="161" t="s">
        <v>139</v>
      </c>
      <c r="E3" s="160" t="s">
        <v>138</v>
      </c>
      <c r="F3" s="161" t="s">
        <v>139</v>
      </c>
      <c r="G3" s="160" t="s">
        <v>138</v>
      </c>
      <c r="H3" s="161" t="s">
        <v>139</v>
      </c>
      <c r="I3" s="160" t="s">
        <v>138</v>
      </c>
      <c r="J3" s="161" t="s">
        <v>139</v>
      </c>
      <c r="K3" s="160" t="s">
        <v>138</v>
      </c>
      <c r="L3" s="161" t="s">
        <v>139</v>
      </c>
      <c r="M3" s="162" t="s">
        <v>138</v>
      </c>
      <c r="N3" s="163" t="s">
        <v>139</v>
      </c>
      <c r="O3" s="162" t="s">
        <v>138</v>
      </c>
      <c r="P3" s="163" t="s">
        <v>139</v>
      </c>
      <c r="Q3" s="162" t="s">
        <v>138</v>
      </c>
      <c r="R3" s="163" t="s">
        <v>139</v>
      </c>
      <c r="S3" s="162" t="s">
        <v>138</v>
      </c>
      <c r="T3" s="163" t="s">
        <v>139</v>
      </c>
      <c r="U3" s="162" t="s">
        <v>138</v>
      </c>
      <c r="V3" s="163" t="s">
        <v>139</v>
      </c>
      <c r="W3" s="162" t="s">
        <v>138</v>
      </c>
      <c r="X3" s="163" t="s">
        <v>139</v>
      </c>
      <c r="Y3" s="162" t="s">
        <v>138</v>
      </c>
      <c r="Z3" s="163" t="s">
        <v>139</v>
      </c>
    </row>
    <row r="4" spans="1:26" s="167" customFormat="1" ht="24" customHeight="1" x14ac:dyDescent="0.2">
      <c r="A4" s="223" t="s">
        <v>151</v>
      </c>
      <c r="B4" s="165" t="s">
        <v>140</v>
      </c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spans="1:26" s="167" customFormat="1" ht="24" customHeight="1" x14ac:dyDescent="0.2">
      <c r="A5" s="223"/>
      <c r="B5" s="165" t="s">
        <v>1</v>
      </c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spans="1:26" s="167" customFormat="1" ht="24" customHeight="1" x14ac:dyDescent="0.2">
      <c r="A6" s="223"/>
      <c r="B6" s="165" t="s">
        <v>2</v>
      </c>
      <c r="C6" s="166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 spans="1:26" s="167" customFormat="1" ht="24" customHeight="1" x14ac:dyDescent="0.2">
      <c r="A7" s="223"/>
      <c r="B7" s="165" t="s">
        <v>3</v>
      </c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</row>
    <row r="8" spans="1:26" s="167" customFormat="1" ht="24" customHeight="1" x14ac:dyDescent="0.2">
      <c r="A8" s="223"/>
      <c r="B8" s="165" t="s">
        <v>141</v>
      </c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</row>
    <row r="9" spans="1:26" s="167" customFormat="1" ht="24" customHeight="1" x14ac:dyDescent="0.2">
      <c r="A9" s="223"/>
      <c r="B9" s="165" t="s">
        <v>60</v>
      </c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</row>
    <row r="10" spans="1:26" s="167" customFormat="1" ht="24" customHeight="1" x14ac:dyDescent="0.2">
      <c r="A10" s="223"/>
      <c r="B10" s="165" t="s">
        <v>5</v>
      </c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</row>
    <row r="11" spans="1:26" s="167" customFormat="1" ht="24" customHeight="1" x14ac:dyDescent="0.2">
      <c r="A11" s="223"/>
      <c r="B11" s="165" t="s">
        <v>6</v>
      </c>
      <c r="C11" s="166"/>
      <c r="D11" s="166"/>
      <c r="E11" s="166"/>
      <c r="F11" s="166"/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</row>
    <row r="12" spans="1:26" s="167" customFormat="1" ht="24" customHeight="1" x14ac:dyDescent="0.2">
      <c r="A12" s="222" t="s">
        <v>145</v>
      </c>
      <c r="B12" s="222"/>
      <c r="C12" s="178">
        <f t="shared" ref="C12:Z12" si="0">SUM(C4:C11)</f>
        <v>0</v>
      </c>
      <c r="D12" s="178">
        <f t="shared" si="0"/>
        <v>0</v>
      </c>
      <c r="E12" s="178">
        <f t="shared" si="0"/>
        <v>0</v>
      </c>
      <c r="F12" s="178">
        <f t="shared" si="0"/>
        <v>0</v>
      </c>
      <c r="G12" s="178">
        <f t="shared" si="0"/>
        <v>0</v>
      </c>
      <c r="H12" s="178">
        <f t="shared" si="0"/>
        <v>0</v>
      </c>
      <c r="I12" s="178">
        <f t="shared" si="0"/>
        <v>0</v>
      </c>
      <c r="J12" s="178">
        <f t="shared" si="0"/>
        <v>0</v>
      </c>
      <c r="K12" s="178">
        <f t="shared" si="0"/>
        <v>0</v>
      </c>
      <c r="L12" s="178">
        <f t="shared" si="0"/>
        <v>0</v>
      </c>
      <c r="M12" s="178">
        <f t="shared" si="0"/>
        <v>0</v>
      </c>
      <c r="N12" s="178">
        <f t="shared" si="0"/>
        <v>0</v>
      </c>
      <c r="O12" s="178">
        <f t="shared" si="0"/>
        <v>0</v>
      </c>
      <c r="P12" s="178">
        <f t="shared" si="0"/>
        <v>0</v>
      </c>
      <c r="Q12" s="178">
        <f t="shared" si="0"/>
        <v>0</v>
      </c>
      <c r="R12" s="178">
        <f>SUM(R4:R11)</f>
        <v>0</v>
      </c>
      <c r="S12" s="178">
        <f t="shared" si="0"/>
        <v>0</v>
      </c>
      <c r="T12" s="178">
        <f t="shared" si="0"/>
        <v>0</v>
      </c>
      <c r="U12" s="178">
        <f t="shared" si="0"/>
        <v>0</v>
      </c>
      <c r="V12" s="178">
        <f t="shared" si="0"/>
        <v>0</v>
      </c>
      <c r="W12" s="178">
        <f t="shared" si="0"/>
        <v>0</v>
      </c>
      <c r="X12" s="178">
        <f t="shared" si="0"/>
        <v>0</v>
      </c>
      <c r="Y12" s="178">
        <f t="shared" si="0"/>
        <v>0</v>
      </c>
      <c r="Z12" s="178">
        <f t="shared" si="0"/>
        <v>0</v>
      </c>
    </row>
    <row r="13" spans="1:26" s="167" customFormat="1" ht="24" customHeight="1" x14ac:dyDescent="0.2">
      <c r="A13" s="217" t="s">
        <v>142</v>
      </c>
      <c r="B13" s="217"/>
      <c r="C13" s="218">
        <f>C12-D12</f>
        <v>0</v>
      </c>
      <c r="D13" s="218"/>
      <c r="E13" s="218">
        <f>E12-F12</f>
        <v>0</v>
      </c>
      <c r="F13" s="218"/>
      <c r="G13" s="218">
        <f>G12-H12</f>
        <v>0</v>
      </c>
      <c r="H13" s="218"/>
      <c r="I13" s="218">
        <f>I12-J12</f>
        <v>0</v>
      </c>
      <c r="J13" s="218"/>
      <c r="K13" s="218">
        <f>K12-L12</f>
        <v>0</v>
      </c>
      <c r="L13" s="218"/>
      <c r="M13" s="218">
        <f>M12-N12</f>
        <v>0</v>
      </c>
      <c r="N13" s="218"/>
      <c r="O13" s="218">
        <f>O12-P12</f>
        <v>0</v>
      </c>
      <c r="P13" s="218"/>
      <c r="Q13" s="218">
        <f>Q12-R12</f>
        <v>0</v>
      </c>
      <c r="R13" s="218"/>
      <c r="S13" s="218">
        <f>S12-T12</f>
        <v>0</v>
      </c>
      <c r="T13" s="218"/>
      <c r="U13" s="218">
        <f>U12-V12</f>
        <v>0</v>
      </c>
      <c r="V13" s="218"/>
      <c r="W13" s="218">
        <f>W12-X12</f>
        <v>0</v>
      </c>
      <c r="X13" s="218"/>
      <c r="Y13" s="218">
        <f>Y12-Z12</f>
        <v>0</v>
      </c>
      <c r="Z13" s="218"/>
    </row>
    <row r="14" spans="1:26" s="159" customFormat="1" ht="24" customHeight="1" x14ac:dyDescent="0.2">
      <c r="A14" s="219" t="s">
        <v>143</v>
      </c>
      <c r="B14" s="219"/>
      <c r="C14" s="235" t="e">
        <f>C17/C15*100%</f>
        <v>#DIV/0!</v>
      </c>
      <c r="D14" s="236"/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O14" s="236"/>
      <c r="P14" s="236"/>
      <c r="Q14" s="236"/>
      <c r="R14" s="236"/>
      <c r="S14" s="236"/>
      <c r="T14" s="236"/>
      <c r="U14" s="236"/>
      <c r="V14" s="236"/>
      <c r="W14" s="236"/>
      <c r="X14" s="236"/>
      <c r="Y14" s="236"/>
      <c r="Z14" s="237"/>
    </row>
    <row r="15" spans="1:26" s="159" customFormat="1" ht="24" customHeight="1" x14ac:dyDescent="0.2">
      <c r="A15" s="216" t="s">
        <v>146</v>
      </c>
      <c r="B15" s="216"/>
      <c r="C15" s="232">
        <f>C12+E12+G12+I12+K12+M12+O12+Q12+S12+U12+W12+Y12</f>
        <v>0</v>
      </c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4"/>
    </row>
    <row r="16" spans="1:26" s="159" customFormat="1" ht="50" customHeight="1" x14ac:dyDescent="0.2">
      <c r="A16" s="210" t="s">
        <v>144</v>
      </c>
      <c r="B16" s="210"/>
      <c r="C16" s="229">
        <f>(C12+E12+G12+I12+K12+M12+O12+Q12+S12+U12+W12+Y12)-(D12+F12+H12+J12+L12+N12+P12+R12+T12+V12+X12+Z12)</f>
        <v>0</v>
      </c>
      <c r="D16" s="230"/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0"/>
      <c r="Q16" s="230"/>
      <c r="R16" s="230"/>
      <c r="S16" s="230"/>
      <c r="T16" s="230"/>
      <c r="U16" s="230"/>
      <c r="V16" s="230"/>
      <c r="W16" s="230"/>
      <c r="X16" s="230"/>
      <c r="Y16" s="230"/>
      <c r="Z16" s="231"/>
    </row>
    <row r="17" spans="1:26" s="159" customFormat="1" ht="36" customHeight="1" x14ac:dyDescent="0.2">
      <c r="A17" s="211" t="s">
        <v>150</v>
      </c>
      <c r="B17" s="211"/>
      <c r="C17" s="226">
        <f>D12+F12+H12+J12+L12+N12+P12+R12+T12+V12+X12+Z12</f>
        <v>0</v>
      </c>
      <c r="D17" s="227"/>
      <c r="E17" s="227"/>
      <c r="F17" s="227"/>
      <c r="G17" s="227"/>
      <c r="H17" s="227"/>
      <c r="I17" s="227"/>
      <c r="J17" s="227"/>
      <c r="K17" s="227"/>
      <c r="L17" s="227"/>
      <c r="M17" s="227"/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8"/>
    </row>
  </sheetData>
  <mergeCells count="38">
    <mergeCell ref="A1:Z1"/>
    <mergeCell ref="C17:Z17"/>
    <mergeCell ref="C16:Z16"/>
    <mergeCell ref="C15:Z15"/>
    <mergeCell ref="C14:Z14"/>
    <mergeCell ref="Y2:Z2"/>
    <mergeCell ref="W13:X13"/>
    <mergeCell ref="Y13:Z13"/>
    <mergeCell ref="W2:X2"/>
    <mergeCell ref="A4:A11"/>
    <mergeCell ref="A2:A3"/>
    <mergeCell ref="B2:B3"/>
    <mergeCell ref="K13:L13"/>
    <mergeCell ref="M13:N13"/>
    <mergeCell ref="S13:T13"/>
    <mergeCell ref="U13:V13"/>
    <mergeCell ref="M2:N2"/>
    <mergeCell ref="O2:P2"/>
    <mergeCell ref="Q2:R2"/>
    <mergeCell ref="S2:T2"/>
    <mergeCell ref="U2:V2"/>
    <mergeCell ref="O13:P13"/>
    <mergeCell ref="Q13:R13"/>
    <mergeCell ref="A16:B16"/>
    <mergeCell ref="A17:B17"/>
    <mergeCell ref="K2:L2"/>
    <mergeCell ref="A15:B15"/>
    <mergeCell ref="C2:D2"/>
    <mergeCell ref="E2:F2"/>
    <mergeCell ref="G2:H2"/>
    <mergeCell ref="I2:J2"/>
    <mergeCell ref="A13:B13"/>
    <mergeCell ref="C13:D13"/>
    <mergeCell ref="E13:F13"/>
    <mergeCell ref="G13:H13"/>
    <mergeCell ref="I13:J13"/>
    <mergeCell ref="A14:B14"/>
    <mergeCell ref="A12:B12"/>
  </mergeCells>
  <pageMargins left="0.7" right="0.7" top="0.75" bottom="0.75" header="0.3" footer="0.3"/>
  <pageSetup paperSize="9" scale="38" orientation="portrait" horizontalDpi="0" verticalDpi="0"/>
  <colBreaks count="1" manualBreakCount="1">
    <brk id="1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F1DC6-BAF0-4938-9674-4C7D52D41EA9}">
  <sheetPr>
    <tabColor theme="3"/>
  </sheetPr>
  <dimension ref="B1:O10"/>
  <sheetViews>
    <sheetView workbookViewId="0">
      <selection activeCell="F20" sqref="F20"/>
    </sheetView>
  </sheetViews>
  <sheetFormatPr baseColWidth="10" defaultColWidth="8.6640625" defaultRowHeight="16" x14ac:dyDescent="0.2"/>
  <sheetData>
    <row r="1" spans="2:15" ht="18" customHeight="1" x14ac:dyDescent="0.2">
      <c r="B1" s="10"/>
      <c r="C1" s="10"/>
      <c r="D1" s="10"/>
      <c r="E1" s="10"/>
      <c r="F1" s="10"/>
      <c r="G1" s="11"/>
      <c r="H1" s="11"/>
      <c r="I1" s="11"/>
      <c r="J1" s="10"/>
      <c r="K1" s="10"/>
    </row>
    <row r="2" spans="2:15" ht="18" customHeight="1" thickBot="1" x14ac:dyDescent="0.25">
      <c r="B2" s="10"/>
      <c r="C2" s="10"/>
      <c r="D2" s="10"/>
      <c r="E2" s="10"/>
      <c r="F2" s="10"/>
      <c r="G2" s="11"/>
      <c r="H2" s="11"/>
      <c r="I2" s="11"/>
      <c r="J2" s="10"/>
      <c r="K2" s="10"/>
    </row>
    <row r="3" spans="2:15" ht="18" customHeight="1" thickBot="1" x14ac:dyDescent="0.25">
      <c r="B3" s="10"/>
      <c r="C3" s="12" t="s">
        <v>97</v>
      </c>
      <c r="D3" s="13" t="s">
        <v>98</v>
      </c>
      <c r="E3" s="14" t="s">
        <v>99</v>
      </c>
      <c r="F3" s="15" t="s">
        <v>98</v>
      </c>
      <c r="G3" s="16" t="s">
        <v>100</v>
      </c>
      <c r="H3" s="17" t="s">
        <v>101</v>
      </c>
      <c r="I3" s="18" t="s">
        <v>102</v>
      </c>
      <c r="J3" s="15" t="s">
        <v>103</v>
      </c>
      <c r="K3" s="17" t="s">
        <v>104</v>
      </c>
      <c r="M3" s="19" t="s">
        <v>105</v>
      </c>
      <c r="N3" s="20" t="s">
        <v>106</v>
      </c>
      <c r="O3" s="21" t="s">
        <v>107</v>
      </c>
    </row>
    <row r="4" spans="2:15" ht="18" customHeight="1" thickBot="1" x14ac:dyDescent="0.25">
      <c r="B4" s="22" t="s">
        <v>96</v>
      </c>
      <c r="C4" s="23" t="s">
        <v>108</v>
      </c>
      <c r="D4" s="24">
        <v>43</v>
      </c>
      <c r="E4" s="25" t="s">
        <v>109</v>
      </c>
      <c r="F4" s="26">
        <v>0.59699999999999998</v>
      </c>
      <c r="G4" s="27">
        <v>250867</v>
      </c>
      <c r="H4" s="27">
        <v>638641</v>
      </c>
      <c r="I4" s="28">
        <f>H4-G4</f>
        <v>387774</v>
      </c>
      <c r="J4" s="29" t="s">
        <v>110</v>
      </c>
      <c r="K4" s="29" t="s">
        <v>111</v>
      </c>
      <c r="M4" s="21" t="s">
        <v>112</v>
      </c>
      <c r="N4" s="21" t="s">
        <v>113</v>
      </c>
      <c r="O4" s="27">
        <v>118230</v>
      </c>
    </row>
    <row r="5" spans="2:15" ht="18" customHeight="1" thickBot="1" x14ac:dyDescent="0.25">
      <c r="B5" s="30" t="s">
        <v>114</v>
      </c>
      <c r="C5" s="31" t="s">
        <v>115</v>
      </c>
      <c r="D5" s="32">
        <v>16</v>
      </c>
      <c r="E5" s="33" t="s">
        <v>116</v>
      </c>
      <c r="F5" s="34">
        <v>0.48480000000000001</v>
      </c>
      <c r="G5" s="35">
        <v>165583</v>
      </c>
      <c r="H5" s="35">
        <v>234486</v>
      </c>
      <c r="I5" s="36">
        <f>H5-G5</f>
        <v>68903</v>
      </c>
      <c r="J5" s="37" t="s">
        <v>117</v>
      </c>
      <c r="K5" s="38"/>
      <c r="M5" s="38" t="s">
        <v>118</v>
      </c>
      <c r="N5" s="38" t="s">
        <v>113</v>
      </c>
      <c r="O5" s="39">
        <v>118230</v>
      </c>
    </row>
    <row r="6" spans="2:15" x14ac:dyDescent="0.2">
      <c r="B6" s="10"/>
      <c r="C6" s="10"/>
      <c r="D6" s="10"/>
      <c r="E6" s="10"/>
      <c r="F6" s="10"/>
      <c r="G6" s="11"/>
      <c r="H6" s="11"/>
      <c r="I6" s="11"/>
      <c r="J6" s="10"/>
      <c r="K6" s="10"/>
    </row>
    <row r="7" spans="2:15" x14ac:dyDescent="0.2">
      <c r="B7" s="10"/>
      <c r="C7" s="10"/>
      <c r="D7" s="10"/>
      <c r="E7" s="10"/>
      <c r="F7" s="10"/>
      <c r="G7" s="11"/>
      <c r="H7" s="11"/>
      <c r="I7" s="11"/>
      <c r="J7" s="10"/>
      <c r="K7" s="10"/>
    </row>
    <row r="8" spans="2:15" x14ac:dyDescent="0.2">
      <c r="B8" s="10"/>
      <c r="C8" s="10"/>
      <c r="D8" s="10"/>
      <c r="E8" s="10"/>
      <c r="F8" s="10"/>
      <c r="G8" s="11"/>
      <c r="H8" s="11"/>
      <c r="I8" s="11"/>
      <c r="J8" s="10"/>
      <c r="K8" s="10"/>
    </row>
    <row r="9" spans="2:15" x14ac:dyDescent="0.2">
      <c r="B9" s="10"/>
      <c r="C9" s="10"/>
      <c r="D9" s="10"/>
      <c r="E9" s="10"/>
      <c r="F9" s="10"/>
      <c r="G9" s="11"/>
      <c r="H9" s="11"/>
      <c r="I9" s="11"/>
      <c r="J9" s="10"/>
      <c r="K9" s="10"/>
    </row>
    <row r="10" spans="2:15" x14ac:dyDescent="0.2">
      <c r="B10" s="10"/>
      <c r="C10" s="10"/>
      <c r="D10" s="10"/>
      <c r="E10" s="10"/>
      <c r="F10" s="10"/>
      <c r="G10" s="11"/>
      <c r="H10" s="11"/>
      <c r="I10" s="11"/>
      <c r="J10" s="10"/>
      <c r="K10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B207E4A99CAD4EA8F740D0E46C5E5D" ma:contentTypeVersion="10" ma:contentTypeDescription="Create a new document." ma:contentTypeScope="" ma:versionID="518c046c3e346913f0d79850e45e4dd9">
  <xsd:schema xmlns:xsd="http://www.w3.org/2001/XMLSchema" xmlns:xs="http://www.w3.org/2001/XMLSchema" xmlns:p="http://schemas.microsoft.com/office/2006/metadata/properties" xmlns:ns2="1c338a0b-35a8-44a2-ade5-d0a7a8db2b30" targetNamespace="http://schemas.microsoft.com/office/2006/metadata/properties" ma:root="true" ma:fieldsID="b11cf84270326f0a03d35ab210f1f9ca" ns2:_="">
    <xsd:import namespace="1c338a0b-35a8-44a2-ade5-d0a7a8db2b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338a0b-35a8-44a2-ade5-d0a7a8db2b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ff4332c-31a7-41f1-9f8a-c43cb9125b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c338a0b-35a8-44a2-ade5-d0a7a8db2b3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F336DA-6C38-4770-BCEC-4FADB235BD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338a0b-35a8-44a2-ade5-d0a7a8db2b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0FD9AD-747B-4089-B041-44DF6534703B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f8b09b56-2b87-45f2-9fb5-39c3f0e953cc"/>
    <ds:schemaRef ds:uri="http://www.w3.org/XML/1998/namespace"/>
    <ds:schemaRef ds:uri="1c338a0b-35a8-44a2-ade5-d0a7a8db2b30"/>
  </ds:schemaRefs>
</ds:datastoreItem>
</file>

<file path=customXml/itemProps3.xml><?xml version="1.0" encoding="utf-8"?>
<ds:datastoreItem xmlns:ds="http://schemas.openxmlformats.org/officeDocument/2006/customXml" ds:itemID="{E4B28EDC-DD30-4425-B2CB-EA2CF565FD2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Monthly Report</vt:lpstr>
      <vt:lpstr>Master Listing</vt:lpstr>
      <vt:lpstr>Summary</vt:lpstr>
      <vt:lpstr>Sheet1</vt:lpstr>
      <vt:lpstr>'Master Listing'!CustomerList</vt:lpstr>
      <vt:lpstr>'Monthly Report'!Print_Area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Momo</cp:lastModifiedBy>
  <cp:revision/>
  <cp:lastPrinted>2026-09-02T10:18:43Z</cp:lastPrinted>
  <dcterms:created xsi:type="dcterms:W3CDTF">2021-02-09T03:57:35Z</dcterms:created>
  <dcterms:modified xsi:type="dcterms:W3CDTF">2026-10-01T07:12:35Z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0x010100BDB207E4A99CAD4EA8F740D0E46C5E5D</vt:lpwstr>
  </property>
  <property fmtid="{D5CDD505-2E9C-101B-9397-08002B2CF9AE}" pid="3" name="MediaServiceImageTags">
    <vt:lpwstr/>
  </property>
</Properties>
</file>